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defaultThemeVersion="166925"/>
  <xr:revisionPtr revIDLastSave="0" documentId="8_{9B1B818C-6632-44D3-A919-8F05F91185C1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BASE DE DADOS" sheetId="1" r:id="rId1"/>
    <sheet name="CONTROLE FACILITADOR E MULTIPLI" sheetId="2" r:id="rId2"/>
    <sheet name="Planilha1" sheetId="3" r:id="rId3"/>
    <sheet name="Planilha3" sheetId="5" r:id="rId4"/>
    <sheet name="02semestre" sheetId="4" r:id="rId5"/>
    <sheet name="Planilha2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AJ58" i="4"/>
  <c r="AJ57" i="4"/>
  <c r="AJ55" i="4"/>
  <c r="AJ51" i="4"/>
  <c r="AJ49" i="4"/>
  <c r="AJ48" i="4"/>
  <c r="AJ47" i="4"/>
  <c r="AJ46" i="4"/>
  <c r="AJ45" i="4"/>
  <c r="AJ40" i="4"/>
  <c r="AJ37" i="4"/>
  <c r="AJ35" i="4"/>
  <c r="AJ33" i="4"/>
  <c r="AJ31" i="4"/>
  <c r="AJ30" i="4"/>
  <c r="AJ29" i="4"/>
  <c r="AJ28" i="4"/>
  <c r="AJ27" i="4"/>
  <c r="AJ22" i="4"/>
  <c r="AJ14" i="4"/>
  <c r="AJ12" i="4"/>
  <c r="AJ10" i="4"/>
  <c r="AJ9" i="4"/>
  <c r="AJ8" i="4"/>
  <c r="AJ7" i="4"/>
  <c r="AJ6" i="4"/>
  <c r="AK56" i="2"/>
  <c r="AK8" i="2"/>
  <c r="AK7" i="2"/>
  <c r="AK52" i="2"/>
  <c r="AK50" i="2"/>
  <c r="AK49" i="2"/>
  <c r="AK48" i="2"/>
  <c r="AK47" i="2"/>
  <c r="AK46" i="2"/>
  <c r="AK43" i="2"/>
  <c r="AK41" i="2"/>
  <c r="AK38" i="2"/>
  <c r="AK37" i="2"/>
  <c r="AK36" i="2"/>
  <c r="AK34" i="2"/>
  <c r="AK32" i="2"/>
  <c r="AK31" i="2"/>
  <c r="AK30" i="2"/>
  <c r="AK29" i="2"/>
  <c r="AK28" i="2"/>
  <c r="AK23" i="2"/>
  <c r="AK15" i="2"/>
  <c r="AK14" i="2"/>
  <c r="AK13" i="2"/>
  <c r="AK9" i="2"/>
  <c r="AK10" i="2"/>
  <c r="AK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Antonio Jackson Sabino Da Silva Bezerra</author>
  </authors>
  <commentList>
    <comment ref="W17" authorId="0" shapeId="0" xr:uid="{1F138D99-EB57-41EE-BC49-D827879DB296}">
      <text>
        <r>
          <rPr>
            <sz val="11"/>
            <color theme="1"/>
            <rFont val="Calibri"/>
            <family val="2"/>
            <scheme val="minor"/>
          </rPr>
          <t xml:space="preserve">Antonio Jackson Sabino Da Silva Bezerra:
Total de praticas: 08. 100/8= 12,5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Antonio Jackson Sabino Da Silva Bezerra</author>
  </authors>
  <commentList>
    <comment ref="V16" authorId="0" shapeId="0" xr:uid="{91D4E134-E6A6-4386-BAA0-F0A7F8E431BF}">
      <text>
        <r>
          <rPr>
            <sz val="11"/>
            <color theme="1"/>
            <rFont val="Calibri"/>
            <family val="2"/>
            <scheme val="minor"/>
          </rPr>
          <t xml:space="preserve">Antonio Jackson Sabino Da Silva Bezerra:
Total de praticas: 08. 100/8= 12,5 </t>
        </r>
      </text>
    </comment>
  </commentList>
</comments>
</file>

<file path=xl/sharedStrings.xml><?xml version="1.0" encoding="utf-8"?>
<sst xmlns="http://schemas.openxmlformats.org/spreadsheetml/2006/main" count="2658" uniqueCount="265">
  <si>
    <t>LISTA LISTA</t>
  </si>
  <si>
    <t>LISTAS</t>
  </si>
  <si>
    <t>tutores pedentes de registro profissional</t>
  </si>
  <si>
    <t>calculo experimento</t>
  </si>
  <si>
    <t>SI</t>
  </si>
  <si>
    <t>OK</t>
  </si>
  <si>
    <t>Adailton Pablyo Alves Silveira</t>
  </si>
  <si>
    <t>X</t>
  </si>
  <si>
    <t>Alber Vitorino Da Silva</t>
  </si>
  <si>
    <t>DESLIGADO</t>
  </si>
  <si>
    <t>Albertina Radtke Wieth</t>
  </si>
  <si>
    <t xml:space="preserve">AGRONOMIA </t>
  </si>
  <si>
    <t>Alessandra Branco Moreira</t>
  </si>
  <si>
    <t>Ariane Andreola</t>
  </si>
  <si>
    <t>dgdgdgdg</t>
  </si>
  <si>
    <t>Atila Lourena Pereira Oliveira</t>
  </si>
  <si>
    <t>dgdd</t>
  </si>
  <si>
    <t>Barbara Cristina Claro Sabino</t>
  </si>
  <si>
    <t>Fellipe Oliveira Da Silva Barbieri</t>
  </si>
  <si>
    <t>Flavia Angelica Da Silva</t>
  </si>
  <si>
    <t>Fred Mauricio Ferreira Da Conceicao</t>
  </si>
  <si>
    <t>Keilla Boehler Ferreira</t>
  </si>
  <si>
    <t>Marla Maria Ferreira De Souza</t>
  </si>
  <si>
    <t>Mauro Da Silva Alves</t>
  </si>
  <si>
    <t>SIM</t>
  </si>
  <si>
    <t>Michelle Barros Pantoja</t>
  </si>
  <si>
    <t>NÃO</t>
  </si>
  <si>
    <t>Paulo Roberto Di Filippo</t>
  </si>
  <si>
    <t>Paulo Sergio Lanzarotto</t>
  </si>
  <si>
    <t>Priscilla Honorio Lima</t>
  </si>
  <si>
    <t>Rannery Camargos Dos Santos</t>
  </si>
  <si>
    <t>Rodrigo Leopoldo Mendes Coelho</t>
  </si>
  <si>
    <t>Sandro Bastos De Moura</t>
  </si>
  <si>
    <t>Thais De Souza</t>
  </si>
  <si>
    <t>GERENCIAMENTO</t>
  </si>
  <si>
    <t>CONTROLE</t>
  </si>
  <si>
    <t>ENTRADA NOVOS TUTORES DE PRÁTICAS</t>
  </si>
  <si>
    <t>ADMISSÃO</t>
  </si>
  <si>
    <t>CARGA HORARIA</t>
  </si>
  <si>
    <t>Coluna1</t>
  </si>
  <si>
    <t>CURSOS</t>
  </si>
  <si>
    <t>POLO</t>
  </si>
  <si>
    <t>NOME DO TUTOR</t>
  </si>
  <si>
    <t>1° COBRANÇA GERENCIAMENTO ORDEM 03</t>
  </si>
  <si>
    <t>2° COBRANÇA GERENCIAMENTO ORDEM 03</t>
  </si>
  <si>
    <t>3° COBRANÇA GERENCIAMENTO ORDEM 03</t>
  </si>
  <si>
    <t>ORDEM 01</t>
  </si>
  <si>
    <t>OBSERVAÇÃO O.1</t>
  </si>
  <si>
    <t>ORDEM 02</t>
  </si>
  <si>
    <t>OBSERVAÇÃO O.2</t>
  </si>
  <si>
    <t>ORDEM 03</t>
  </si>
  <si>
    <t>OBSERVAÇÃO O.3</t>
  </si>
  <si>
    <t>ORDEM 04</t>
  </si>
  <si>
    <t>OBSERVAÇÃO O.4</t>
  </si>
  <si>
    <t>ORDEM 05</t>
  </si>
  <si>
    <t>OBSERVAÇÃO O.5</t>
  </si>
  <si>
    <t>PORTIFOLIO REFERENTE A ORDEM 01</t>
  </si>
  <si>
    <t>PORTIFOLIO REFERENTE A ORDEM 02</t>
  </si>
  <si>
    <t>PORTIFOLIO REFERENTE A ORDEM 03</t>
  </si>
  <si>
    <t>PORTIFOLIO REFERENTE A ORDEM 04</t>
  </si>
  <si>
    <t>PORTIFOLIO REFERENTE A ORDEM 05</t>
  </si>
  <si>
    <t>REGISTRO PROFISSIONAL</t>
  </si>
  <si>
    <t>CHECKLIST</t>
  </si>
  <si>
    <t>ENVIO MEC</t>
  </si>
  <si>
    <t>CONTRATO</t>
  </si>
  <si>
    <t>DATA DE ENTRADA A PARTIR DE MARÇO/2026</t>
  </si>
  <si>
    <t>AÇAO DE COMUNICAÇÃO DE NOVOS TUTORES AOS MULTIPLICADORES (grupo com o Phillipe+Email Elienai)   (TUTOR FACILITADOR)  DATA DE INICIO</t>
  </si>
  <si>
    <t xml:space="preserve">DATA DE ENVIO </t>
  </si>
  <si>
    <r>
      <rPr>
        <b/>
        <sz val="9"/>
        <color rgb="FFFF0000"/>
        <rFont val="Calibri"/>
        <scheme val="minor"/>
      </rPr>
      <t>ETAPA 01 - ANTES DO ONBOARDING</t>
    </r>
    <r>
      <rPr>
        <b/>
        <sz val="9"/>
        <color rgb="FF000000"/>
        <rFont val="Calibri"/>
        <scheme val="minor"/>
      </rPr>
      <t xml:space="preserve"> ACIONAR(Whatssap)  E ENVIO DE BOAS VINDAS E LINK DA REUNIÃO ONBOARD PARA TUTOR NOVO (TUTOR MULTIPLICADOR)</t>
    </r>
  </si>
  <si>
    <r>
      <rPr>
        <b/>
        <sz val="9"/>
        <color rgb="FFFF0000"/>
        <rFont val="Calibri"/>
        <scheme val="minor"/>
      </rPr>
      <t>ETAPA 02 - PÓS ONBOARDING</t>
    </r>
    <r>
      <rPr>
        <b/>
        <sz val="9"/>
        <color rgb="FF000000"/>
        <rFont val="Calibri"/>
        <scheme val="minor"/>
      </rPr>
      <t xml:space="preserve"> ENVIO DE BOAS VINDAS DOS LINKS, VITRU ACADEMY, PLANILHA MEC, PLANILHA CONSENHO REGISTRO, ENVIO DO MATERIAL DE APRESENTAÇÃO ONBOARDING E SOLICITAÇÃO DA ASSINATURA E COPIA DO CONTRATO DE ADMISSÃO (TUTOR MULTIPLICADOR)</t>
    </r>
  </si>
  <si>
    <t>DATA DE INICIO DAS TRILHAS</t>
  </si>
  <si>
    <t>DATA DE FINALIÇÃO DAS TRILHAS2</t>
  </si>
  <si>
    <r>
      <rPr>
        <b/>
        <sz val="9"/>
        <color rgb="FFFF0000"/>
        <rFont val="Calibri"/>
        <scheme val="minor"/>
      </rPr>
      <t>ETAPA 03 - ACOMPANHAMENTO SEMANAL.</t>
    </r>
    <r>
      <rPr>
        <b/>
        <sz val="9"/>
        <color rgb="FF000000"/>
        <rFont val="Calibri"/>
        <scheme val="minor"/>
      </rPr>
      <t xml:space="preserve"> VITRU ACADEMY ACOMPANHAMENTO DAS ATIVIDADES E EVOÇUÇÃO DOS TREINAMENTOS (TUTOR MULTIPLICADOR)</t>
    </r>
  </si>
  <si>
    <t>APLICAÇÃO DO CHECK-LIST</t>
  </si>
  <si>
    <t xml:space="preserve">ALINHAMENTO DO DIA DE PRATICAS JUNTO AO POLO </t>
  </si>
  <si>
    <t>AGENDAMENTO E ACOMPANHAMENTO PARA O PRIMEIRO GERENCIAMENTO DO NOVO TUTOR (A) - (OBS, VOLL PARA NUTRIÇÃO).</t>
  </si>
  <si>
    <t>DATA - PEDIDO DE DEMISSÃO . (OBS, MULTIPLICADOR ENVIAR A CARTA)</t>
  </si>
  <si>
    <t>DATA - ENVIO DE CARTA ASSINADA.</t>
  </si>
  <si>
    <t>ENGEMAKER + QUÍMICA E FÍSICA</t>
  </si>
  <si>
    <t>ECE-ENM-ENS-ENG-EEA-GPI-CDE-OBR-SAN-TER-FSA-SLF-QUI</t>
  </si>
  <si>
    <t>Alagoinhas/BA</t>
  </si>
  <si>
    <t>Rachell Adrielle Bomfim Reis Santos</t>
  </si>
  <si>
    <t>24-04-2026</t>
  </si>
  <si>
    <t>QUÍMICA E FÍSICA</t>
  </si>
  <si>
    <t>AGM</t>
  </si>
  <si>
    <t>Vitor Batista Pinheiro</t>
  </si>
  <si>
    <t>ok</t>
  </si>
  <si>
    <t>GERENCIOU 25%</t>
  </si>
  <si>
    <t xml:space="preserve">PENDENTE </t>
  </si>
  <si>
    <t>GERENCIADO 50%</t>
  </si>
  <si>
    <t>GERENCIADO 100%</t>
  </si>
  <si>
    <t>AGRONOMIA</t>
  </si>
  <si>
    <t>Arapiraca/AL</t>
  </si>
  <si>
    <t>Emerson Dos Santos Ferreira Farias</t>
  </si>
  <si>
    <t>GERENCIOU 37,5%</t>
  </si>
  <si>
    <t>GERENCIOU 62,5%</t>
  </si>
  <si>
    <t>Belém/PA - Nazaré</t>
  </si>
  <si>
    <t>PENDENTE</t>
  </si>
  <si>
    <t>Não responde</t>
  </si>
  <si>
    <t>Belém/PA - São Brás</t>
  </si>
  <si>
    <t>GERENCIADO 33%</t>
  </si>
  <si>
    <t>ENGEMAKER</t>
  </si>
  <si>
    <t>BAU</t>
  </si>
  <si>
    <t>Doralice Vinagre Melo</t>
  </si>
  <si>
    <t>Belo Horizonte/MG - Shopping Estação BH</t>
  </si>
  <si>
    <t>GERENCIADO 25%</t>
  </si>
  <si>
    <t>GERENCIOU 50%</t>
  </si>
  <si>
    <t>Ana Julia Ribeiro Dos Santos</t>
  </si>
  <si>
    <t>GERENCIOU 12,5%</t>
  </si>
  <si>
    <t>GERENCIOU 100%</t>
  </si>
  <si>
    <t>Blumenau/SC - Salto Do Norte (Centro Universitário Dante)</t>
  </si>
  <si>
    <t>agro</t>
  </si>
  <si>
    <t>Florianópolis/SC - Centro</t>
  </si>
  <si>
    <t>Maryon Brotto Rosado</t>
  </si>
  <si>
    <t>Camaquã/RS</t>
  </si>
  <si>
    <t>Jackeson Oliveira De Moraes</t>
  </si>
  <si>
    <t>Aguardando retorno!</t>
  </si>
  <si>
    <t>Camboriú/SC</t>
  </si>
  <si>
    <t>Gilnei Da Silva Dias</t>
  </si>
  <si>
    <t>GERENCIOU 87,5%</t>
  </si>
  <si>
    <t>Campinas/SP - Abolição</t>
  </si>
  <si>
    <t>Joao Paulo da Silva Jerusalem</t>
  </si>
  <si>
    <t>Marina Pedroso Carneiro</t>
  </si>
  <si>
    <t>21/05/2026</t>
  </si>
  <si>
    <t>Capão Da Canoa/RS</t>
  </si>
  <si>
    <t>Amanda Reis De Oliveira</t>
  </si>
  <si>
    <t>Catalão/GO</t>
  </si>
  <si>
    <t>Chapecó/SC - Centro</t>
  </si>
  <si>
    <t>Gabriela Fanck Dos Santos</t>
  </si>
  <si>
    <t>tutora não gerenciou por que não tem alunos matriculados</t>
  </si>
  <si>
    <t>O POLO ESTA EM MANUTENÇÃO</t>
  </si>
  <si>
    <t xml:space="preserve">Impressora 3D em manutenção </t>
  </si>
  <si>
    <t>29/04/2026</t>
  </si>
  <si>
    <t>Cuiabá/MT - Poção</t>
  </si>
  <si>
    <t>Curitiba/PR - Boqueirão</t>
  </si>
  <si>
    <t>29-04-2026</t>
  </si>
  <si>
    <t>Formosa/GO</t>
  </si>
  <si>
    <t>Luis Fernando Caetano Marins</t>
  </si>
  <si>
    <t>Thecica Layme De Sousa Santos</t>
  </si>
  <si>
    <t>Guaramirim/SC</t>
  </si>
  <si>
    <t>Herval D'Oeste/SC</t>
  </si>
  <si>
    <t>Emanueli Lottermann</t>
  </si>
  <si>
    <t>Imbituba/SC</t>
  </si>
  <si>
    <t>Daniel De Jesus Valentim</t>
  </si>
  <si>
    <t>GERENCIOU  25%</t>
  </si>
  <si>
    <t>Itaguaí/RJ - Edifício Manancial</t>
  </si>
  <si>
    <t>Otavio Augusto Queiroz Dos Santos</t>
  </si>
  <si>
    <t>Marcelly Marinho Dos Santos</t>
  </si>
  <si>
    <t>Itapajé/CE</t>
  </si>
  <si>
    <t>Thiago Oliveira Silva</t>
  </si>
  <si>
    <t>Joinville/SC - Saguaçu</t>
  </si>
  <si>
    <t>Cristiano Feuser</t>
  </si>
  <si>
    <t>13-05-2026</t>
  </si>
  <si>
    <t>Lages/SC - Garden Shopping</t>
  </si>
  <si>
    <t>Luís Eduardo Magalhães/BA</t>
  </si>
  <si>
    <t>Macaé/RJ</t>
  </si>
  <si>
    <t>GERENCIOU 75%</t>
  </si>
  <si>
    <t>Manaus/AM - Cidade Nova</t>
  </si>
  <si>
    <t>Novo Hamburgo/RS - Centro</t>
  </si>
  <si>
    <t>Janaina Priscila Carnete</t>
  </si>
  <si>
    <t>DESLIGADA</t>
  </si>
  <si>
    <t>Parauapebas/PA</t>
  </si>
  <si>
    <t>Porto Alegre/RS - Centro Histórico</t>
  </si>
  <si>
    <t>Silvestre Araujo Assumpcao</t>
  </si>
  <si>
    <t>GERENCIADO 62,5%</t>
  </si>
  <si>
    <t>GERENCIOU 62,5</t>
  </si>
  <si>
    <t>Maria Cristina De Freitas Guerreiro</t>
  </si>
  <si>
    <t>GERENCIANDO MANAUALMENTE</t>
  </si>
  <si>
    <t>Auristela Espirito Santo</t>
  </si>
  <si>
    <t>Pouso Alegre/MG</t>
  </si>
  <si>
    <t>Miguel Angelo Damazio Da Costa</t>
  </si>
  <si>
    <t>Quixeramobim/CE</t>
  </si>
  <si>
    <t>Francisco Anderson De Sousa Lima</t>
  </si>
  <si>
    <t>GERENCIADO 67%</t>
  </si>
  <si>
    <t>Rio Verde/GO</t>
  </si>
  <si>
    <t>São Paulo/SP - Tatuapé</t>
  </si>
  <si>
    <t>São Raimundo Nonato/PI</t>
  </si>
  <si>
    <t>Romario Vilanova Santana</t>
  </si>
  <si>
    <t>Sinop/MT</t>
  </si>
  <si>
    <t>Unaí/MG</t>
  </si>
  <si>
    <t>21/05/26</t>
  </si>
  <si>
    <t xml:space="preserve"> 04:00</t>
  </si>
  <si>
    <t>Noriane Mendonça de Souza</t>
  </si>
  <si>
    <t>-</t>
  </si>
  <si>
    <t xml:space="preserve">TUTOR NOVO </t>
  </si>
  <si>
    <t>SIM (08/04/2026)</t>
  </si>
  <si>
    <t>EM ACOMPANHAMENTO</t>
  </si>
  <si>
    <t>Maringá/PR - Zona 01</t>
  </si>
  <si>
    <t>Gleicy Loany de Alencar Cardoso</t>
  </si>
  <si>
    <t>sim</t>
  </si>
  <si>
    <t>Loraya Yaskara Antonechen Gonçalves</t>
  </si>
  <si>
    <t xml:space="preserve">SIM </t>
  </si>
  <si>
    <t>Goiânia/GO - Centro</t>
  </si>
  <si>
    <t>VINICIUS GONCALVES ALMEIDA</t>
  </si>
  <si>
    <t>GLEICY LOANY DE ALENCAR CARDOSO	04/05/2026	TUTOR DE PRATICA (UC_1749)	Ativo	004:00	gleicyloany3@hotmail.com	18997261696	Maringá/PR - Zona 01	Engenharia Civil	 	gleicy.cardoso@tutorpratica.uniasselvi.com.br	G@07421586911</t>
  </si>
  <si>
    <t>DORALICE</t>
  </si>
  <si>
    <t>Ticket #22026070990987 criado com sucesso.</t>
  </si>
  <si>
    <t>=PROCV(F3,'02semestre'!B4:AP63</t>
  </si>
  <si>
    <t>OBSERVAÇÃO GERAL NIVEL 1</t>
  </si>
  <si>
    <t>OBSERVAÇÃO GERAL NIVEL 2</t>
  </si>
  <si>
    <t>OBSERVAÇÃO GERAL  NIVEL 3</t>
  </si>
  <si>
    <t>x</t>
  </si>
  <si>
    <t>abertura de chamado para solicitaçao de insumos 22026081083192</t>
  </si>
  <si>
    <t>feedback em relação à sua atuação e à possibilidade de ampliação</t>
  </si>
  <si>
    <t>GERENCIOIU 100%</t>
  </si>
  <si>
    <t>EM PROCESSO DE DESLIGAMENTO</t>
  </si>
  <si>
    <t>NAO RESPONDE DESDE DO DIA 27/04/2026</t>
  </si>
  <si>
    <t>EM PRC. DE DESLIGAMENTO</t>
  </si>
  <si>
    <t>Nao responde</t>
  </si>
  <si>
    <t>GERENCIOU 12%</t>
  </si>
  <si>
    <t>GERENCIADO 37,5%</t>
  </si>
  <si>
    <t>GERENCIADO 12,5%</t>
  </si>
  <si>
    <t>sem acesso ao laboratorio (obra) prev. a partir do dia 10/08</t>
  </si>
  <si>
    <t>NÃO RESPONDE DESDE O 18/05/2026</t>
  </si>
  <si>
    <t>LABORATORIO FOI DESLOCADO PARA OUTRA SALA</t>
  </si>
  <si>
    <t>GERENCIOU 50%%</t>
  </si>
  <si>
    <t>LICENÇA MARTERNIDADE</t>
  </si>
  <si>
    <t>LIC. MARTENIDADE</t>
  </si>
  <si>
    <t>ABERTURA DE CHAMADO PARA VALE TRANSPORTE 220260917116165</t>
  </si>
  <si>
    <t>GERNCIOU 87,5%</t>
  </si>
  <si>
    <t>Não aparece gerenciamento de ordem 01</t>
  </si>
  <si>
    <t>25/08/2026</t>
  </si>
  <si>
    <t>GERENCIOU MANUAL</t>
  </si>
  <si>
    <t>PLANO DE CONTIGENCIA</t>
  </si>
  <si>
    <t>GERENCIOU MANAUL</t>
  </si>
  <si>
    <t xml:space="preserve"> ( NÃO TEM LAB DE AGRONOMIA NO POLO)</t>
  </si>
  <si>
    <t>abrir chamado para acesso ao portal sydle 2202609085981 - analisar um aumento de carga horaria/22026091182138</t>
  </si>
  <si>
    <t xml:space="preserve"> ENGEMAKER</t>
  </si>
  <si>
    <t>Renata Abreu Dallanora</t>
  </si>
  <si>
    <t>EM TRILHA</t>
  </si>
  <si>
    <t>Nova Mutum/MT</t>
  </si>
  <si>
    <t>Ellen Magda Da Silva Machado</t>
  </si>
  <si>
    <t>JOSMAR JOSE DOS SANTOS JUNIOR</t>
  </si>
  <si>
    <t>28/07/2026</t>
  </si>
  <si>
    <t>29/07/2026</t>
  </si>
  <si>
    <t>Ituporanga/SC</t>
  </si>
  <si>
    <t>Rafael Beckhauser</t>
  </si>
  <si>
    <t>Ronaldo junior lisboa paiva</t>
  </si>
  <si>
    <t>17/08/2026</t>
  </si>
  <si>
    <t>Tangará da Serra/MT</t>
  </si>
  <si>
    <t xml:space="preserve">inaiana maria caetano dos santos </t>
  </si>
  <si>
    <t>19/08/2026</t>
  </si>
  <si>
    <t>Rolim de Moura/RO</t>
  </si>
  <si>
    <t>JHONNY KELVIN DIAS MARTINS</t>
  </si>
  <si>
    <t>19.08.2026</t>
  </si>
  <si>
    <t>21.08.2026</t>
  </si>
  <si>
    <t>MARCELO MEIRELLES RIBEIRO</t>
  </si>
  <si>
    <t>Caroline Rusch Schulze Zech</t>
  </si>
  <si>
    <t>EM TREINAMENTO</t>
  </si>
  <si>
    <t>Ticket #220260921134085</t>
  </si>
  <si>
    <t>EDUARDO SPILLARI VIOLA</t>
  </si>
  <si>
    <t>JARDSON CLEITON PACIFICO DO NASCIMENTO</t>
  </si>
  <si>
    <t>OBSERVÇÕES GERAIS DE TUTORES DE PRATICA</t>
  </si>
  <si>
    <t>SEMESTRE 02/2026</t>
  </si>
  <si>
    <t xml:space="preserve">DATA </t>
  </si>
  <si>
    <t>LAB</t>
  </si>
  <si>
    <t xml:space="preserve">POLO </t>
  </si>
  <si>
    <t>TUTOR DE PRATICA</t>
  </si>
  <si>
    <t>OBSERVAÇÃO</t>
  </si>
  <si>
    <t xml:space="preserve">SITUAÇÃO </t>
  </si>
  <si>
    <t xml:space="preserve">GRAU DE ATENÇÃO </t>
  </si>
  <si>
    <t>RESOLVIDO?</t>
  </si>
  <si>
    <t>31/08</t>
  </si>
  <si>
    <t xml:space="preserve">FOI ABERTO UM CHAMADO PARA SOLICITAÇÃO DE INSUMOS </t>
  </si>
  <si>
    <t>14/09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</si>
</sst>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[$-409]d\-mmm;@"/>
    <numFmt numFmtId="166" formatCode="d/m/yy;@"/>
  </numFmts>
  <fonts count="3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Aptos Narrow"/>
      <family val="2"/>
    </font>
    <font>
      <sz val="11"/>
      <color theme="0"/>
      <name val="Calibri"/>
      <family val="2"/>
      <scheme val="minor"/>
    </font>
    <font>
      <sz val="11"/>
      <color theme="0"/>
      <name val="Aptos Narrow"/>
      <family val="2"/>
    </font>
    <font>
      <b/>
      <sz val="12"/>
      <color theme="0"/>
      <name val="Titillium Web"/>
    </font>
    <font>
      <b/>
      <sz val="12"/>
      <color theme="1"/>
      <name val="Titillium Web"/>
    </font>
    <font>
      <b/>
      <sz val="14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Aptos Narrow"/>
      <family val="2"/>
    </font>
    <font>
      <b/>
      <sz val="10"/>
      <color rgb="FF000000"/>
      <name val="Titillium Web"/>
    </font>
    <font>
      <sz val="8"/>
      <color rgb="FF000000"/>
      <name val="Titillium Web"/>
    </font>
    <font>
      <sz val="10"/>
      <color rgb="FF000000"/>
      <name val="Titillium Web"/>
    </font>
    <font>
      <sz val="11"/>
      <color rgb="FF000000"/>
      <name val="Calibri"/>
      <scheme val="minor"/>
    </font>
    <font>
      <sz val="8"/>
      <color rgb="FF000000"/>
      <name val="Calibri"/>
      <scheme val="minor"/>
    </font>
    <font>
      <sz val="10"/>
      <color rgb="FF000000"/>
      <name val="Calibri"/>
      <scheme val="minor"/>
    </font>
    <font>
      <sz val="8"/>
      <color theme="1"/>
      <name val="Calibri"/>
      <scheme val="minor"/>
    </font>
    <font>
      <b/>
      <sz val="11"/>
      <color rgb="FF000000"/>
      <name val="Calibri"/>
      <scheme val="minor"/>
    </font>
    <font>
      <b/>
      <sz val="9"/>
      <color theme="1"/>
      <name val="Calibri"/>
      <scheme val="minor"/>
    </font>
    <font>
      <b/>
      <sz val="9"/>
      <color rgb="FF000000"/>
      <name val="Calibri"/>
      <scheme val="minor"/>
    </font>
    <font>
      <b/>
      <sz val="9"/>
      <color rgb="FFFF0000"/>
      <name val="Calibri"/>
      <scheme val="minor"/>
    </font>
    <font>
      <b/>
      <sz val="9"/>
      <color theme="0" tint="-4.9989318521683403E-2"/>
      <name val="Calibri"/>
      <scheme val="minor"/>
    </font>
    <font>
      <b/>
      <sz val="9"/>
      <color theme="0"/>
      <name val="Calibri"/>
      <scheme val="minor"/>
    </font>
    <font>
      <sz val="8"/>
      <color theme="1"/>
      <name val="Titillium Web"/>
    </font>
    <font>
      <sz val="10"/>
      <color rgb="FFFF0000"/>
      <name val="Calibri"/>
      <scheme val="minor"/>
    </font>
    <font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0"/>
      <color rgb="FF000000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2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/>
    <xf numFmtId="0" fontId="5" fillId="3" borderId="4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/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/>
    </xf>
    <xf numFmtId="0" fontId="10" fillId="0" borderId="2" xfId="0" applyFont="1" applyBorder="1"/>
    <xf numFmtId="0" fontId="11" fillId="0" borderId="0" xfId="0" applyFont="1" applyAlignment="1">
      <alignment wrapText="1"/>
    </xf>
    <xf numFmtId="0" fontId="2" fillId="0" borderId="0" xfId="0" applyFont="1"/>
    <xf numFmtId="20" fontId="2" fillId="0" borderId="0" xfId="0" applyNumberFormat="1" applyFont="1"/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10" fontId="0" fillId="0" borderId="0" xfId="0" applyNumberFormat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4" fontId="0" fillId="0" borderId="0" xfId="0" applyNumberFormat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20" fontId="15" fillId="0" borderId="0" xfId="0" applyNumberFormat="1" applyFont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6" fillId="15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wrapText="1"/>
    </xf>
    <xf numFmtId="0" fontId="9" fillId="0" borderId="0" xfId="0" applyFont="1"/>
    <xf numFmtId="0" fontId="16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4" borderId="7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 indent="1"/>
    </xf>
    <xf numFmtId="0" fontId="18" fillId="0" borderId="2" xfId="0" applyFont="1" applyBorder="1" applyAlignment="1">
      <alignment horizontal="left" vertical="center" indent="1"/>
    </xf>
    <xf numFmtId="0" fontId="9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indent="1"/>
    </xf>
    <xf numFmtId="11" fontId="0" fillId="4" borderId="2" xfId="0" applyNumberFormat="1" applyFill="1" applyBorder="1"/>
    <xf numFmtId="0" fontId="0" fillId="0" borderId="0" xfId="0" applyAlignment="1">
      <alignment wrapText="1"/>
    </xf>
    <xf numFmtId="0" fontId="18" fillId="0" borderId="4" xfId="0" applyFont="1" applyBorder="1" applyAlignment="1">
      <alignment horizontal="center" vertical="center" indent="1"/>
    </xf>
    <xf numFmtId="0" fontId="0" fillId="4" borderId="4" xfId="0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164" fontId="0" fillId="0" borderId="2" xfId="0" applyNumberFormat="1" applyBorder="1" applyAlignment="1">
      <alignment horizontal="center" vertical="center"/>
    </xf>
    <xf numFmtId="164" fontId="0" fillId="0" borderId="2" xfId="0" applyNumberFormat="1" applyBorder="1"/>
    <xf numFmtId="164" fontId="0" fillId="0" borderId="3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 indent="1"/>
    </xf>
    <xf numFmtId="0" fontId="21" fillId="0" borderId="2" xfId="0" applyFont="1" applyBorder="1" applyAlignment="1">
      <alignment horizontal="left" vertical="center" indent="1"/>
    </xf>
    <xf numFmtId="0" fontId="22" fillId="0" borderId="22" xfId="0" applyFont="1" applyBorder="1" applyAlignment="1">
      <alignment horizontal="left" vertical="center" indent="1"/>
    </xf>
    <xf numFmtId="0" fontId="23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wrapText="1"/>
    </xf>
    <xf numFmtId="14" fontId="23" fillId="0" borderId="2" xfId="0" applyNumberFormat="1" applyFont="1" applyBorder="1" applyAlignment="1">
      <alignment wrapText="1"/>
    </xf>
    <xf numFmtId="0" fontId="19" fillId="0" borderId="2" xfId="0" applyFont="1" applyBorder="1"/>
    <xf numFmtId="0" fontId="23" fillId="0" borderId="2" xfId="0" applyFont="1" applyBorder="1" applyAlignment="1">
      <alignment horizontal="center" vertical="center"/>
    </xf>
    <xf numFmtId="164" fontId="19" fillId="0" borderId="2" xfId="0" applyNumberFormat="1" applyFont="1" applyBorder="1" applyAlignment="1">
      <alignment horizontal="center" vertical="center"/>
    </xf>
    <xf numFmtId="164" fontId="19" fillId="0" borderId="15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indent="1"/>
    </xf>
    <xf numFmtId="0" fontId="24" fillId="0" borderId="2" xfId="0" applyFont="1" applyBorder="1" applyAlignment="1">
      <alignment horizontal="left" vertical="center" indent="1"/>
    </xf>
    <xf numFmtId="14" fontId="24" fillId="0" borderId="2" xfId="0" applyNumberFormat="1" applyFont="1" applyBorder="1" applyAlignment="1">
      <alignment horizontal="left" vertical="center" indent="1"/>
    </xf>
    <xf numFmtId="14" fontId="19" fillId="0" borderId="2" xfId="0" applyNumberFormat="1" applyFont="1" applyBorder="1" applyAlignment="1">
      <alignment horizontal="center" vertical="center"/>
    </xf>
    <xf numFmtId="14" fontId="19" fillId="0" borderId="4" xfId="0" applyNumberFormat="1" applyFont="1" applyBorder="1" applyAlignment="1">
      <alignment horizontal="center" vertical="center"/>
    </xf>
    <xf numFmtId="20" fontId="19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 indent="1"/>
    </xf>
    <xf numFmtId="0" fontId="20" fillId="0" borderId="4" xfId="0" applyFont="1" applyBorder="1" applyAlignment="1">
      <alignment horizontal="left" vertical="center"/>
    </xf>
    <xf numFmtId="0" fontId="21" fillId="0" borderId="4" xfId="0" applyFont="1" applyBorder="1" applyAlignment="1">
      <alignment horizontal="left" vertical="center" indent="1"/>
    </xf>
    <xf numFmtId="0" fontId="20" fillId="0" borderId="4" xfId="0" applyFont="1" applyBorder="1" applyAlignment="1">
      <alignment horizontal="left" vertical="center" indent="1"/>
    </xf>
    <xf numFmtId="0" fontId="19" fillId="0" borderId="18" xfId="0" applyFont="1" applyBorder="1"/>
    <xf numFmtId="0" fontId="23" fillId="0" borderId="18" xfId="0" applyFont="1" applyBorder="1" applyAlignment="1">
      <alignment horizontal="center" vertical="center"/>
    </xf>
    <xf numFmtId="164" fontId="19" fillId="0" borderId="18" xfId="0" applyNumberFormat="1" applyFont="1" applyBorder="1" applyAlignment="1">
      <alignment horizontal="center" vertical="center"/>
    </xf>
    <xf numFmtId="164" fontId="19" fillId="0" borderId="19" xfId="0" applyNumberFormat="1" applyFont="1" applyBorder="1" applyAlignment="1">
      <alignment horizontal="center" vertical="center"/>
    </xf>
    <xf numFmtId="14" fontId="23" fillId="0" borderId="4" xfId="0" applyNumberFormat="1" applyFont="1" applyBorder="1" applyAlignment="1">
      <alignment wrapText="1"/>
    </xf>
    <xf numFmtId="0" fontId="23" fillId="0" borderId="4" xfId="0" applyFont="1" applyBorder="1" applyAlignment="1">
      <alignment horizontal="center" vertical="center"/>
    </xf>
    <xf numFmtId="0" fontId="19" fillId="0" borderId="4" xfId="0" applyFont="1" applyBorder="1"/>
    <xf numFmtId="164" fontId="19" fillId="0" borderId="4" xfId="0" applyNumberFormat="1" applyFont="1" applyBorder="1" applyAlignment="1">
      <alignment horizontal="center" vertical="center"/>
    </xf>
    <xf numFmtId="14" fontId="25" fillId="11" borderId="8" xfId="0" applyNumberFormat="1" applyFont="1" applyFill="1" applyBorder="1" applyAlignment="1">
      <alignment horizontal="center" vertical="center" wrapText="1"/>
    </xf>
    <xf numFmtId="0" fontId="25" fillId="11" borderId="8" xfId="0" applyFont="1" applyFill="1" applyBorder="1" applyAlignment="1">
      <alignment horizontal="center" vertical="center" wrapText="1"/>
    </xf>
    <xf numFmtId="0" fontId="27" fillId="3" borderId="8" xfId="0" quotePrefix="1" applyFont="1" applyFill="1" applyBorder="1" applyAlignment="1">
      <alignment horizontal="center" vertical="center" wrapText="1"/>
    </xf>
    <xf numFmtId="0" fontId="27" fillId="3" borderId="4" xfId="0" quotePrefix="1" applyFont="1" applyFill="1" applyBorder="1" applyAlignment="1">
      <alignment horizontal="center" vertical="center" wrapText="1"/>
    </xf>
    <xf numFmtId="0" fontId="28" fillId="3" borderId="4" xfId="0" quotePrefix="1" applyFont="1" applyFill="1" applyBorder="1" applyAlignment="1">
      <alignment horizontal="center" vertical="center" wrapText="1" indent="1"/>
    </xf>
    <xf numFmtId="0" fontId="28" fillId="3" borderId="4" xfId="0" applyFont="1" applyFill="1" applyBorder="1" applyAlignment="1">
      <alignment horizontal="center" vertical="center" wrapText="1"/>
    </xf>
    <xf numFmtId="0" fontId="24" fillId="5" borderId="8" xfId="0" applyFont="1" applyFill="1" applyBorder="1" applyAlignment="1">
      <alignment horizontal="center" vertical="center" wrapText="1"/>
    </xf>
    <xf numFmtId="10" fontId="28" fillId="6" borderId="4" xfId="0" applyNumberFormat="1" applyFont="1" applyFill="1" applyBorder="1" applyAlignment="1">
      <alignment horizontal="center" vertical="center" wrapText="1"/>
    </xf>
    <xf numFmtId="0" fontId="28" fillId="6" borderId="4" xfId="0" applyFont="1" applyFill="1" applyBorder="1" applyAlignment="1">
      <alignment horizontal="center" vertical="center" wrapText="1"/>
    </xf>
    <xf numFmtId="0" fontId="28" fillId="9" borderId="4" xfId="0" applyFont="1" applyFill="1" applyBorder="1" applyAlignment="1">
      <alignment horizontal="center" vertical="center" wrapText="1"/>
    </xf>
    <xf numFmtId="0" fontId="28" fillId="7" borderId="4" xfId="0" applyFont="1" applyFill="1" applyBorder="1" applyAlignment="1">
      <alignment horizontal="center" vertical="center" wrapText="1"/>
    </xf>
    <xf numFmtId="0" fontId="28" fillId="8" borderId="4" xfId="0" applyFont="1" applyFill="1" applyBorder="1" applyAlignment="1">
      <alignment horizontal="center" vertical="center" wrapText="1"/>
    </xf>
    <xf numFmtId="0" fontId="28" fillId="13" borderId="6" xfId="0" applyFont="1" applyFill="1" applyBorder="1" applyAlignment="1">
      <alignment horizontal="center" vertical="center" wrapText="1"/>
    </xf>
    <xf numFmtId="164" fontId="25" fillId="12" borderId="12" xfId="0" applyNumberFormat="1" applyFont="1" applyFill="1" applyBorder="1" applyAlignment="1">
      <alignment horizontal="center" vertical="center" wrapText="1"/>
    </xf>
    <xf numFmtId="0" fontId="25" fillId="12" borderId="8" xfId="0" applyFont="1" applyFill="1" applyBorder="1" applyAlignment="1">
      <alignment horizontal="center" vertical="center" wrapText="1"/>
    </xf>
    <xf numFmtId="164" fontId="25" fillId="11" borderId="4" xfId="0" applyNumberFormat="1" applyFont="1" applyFill="1" applyBorder="1" applyAlignment="1">
      <alignment horizontal="center" vertical="center" wrapText="1"/>
    </xf>
    <xf numFmtId="164" fontId="25" fillId="11" borderId="13" xfId="0" applyNumberFormat="1" applyFont="1" applyFill="1" applyBorder="1" applyAlignment="1">
      <alignment horizontal="center" vertical="center" wrapText="1"/>
    </xf>
    <xf numFmtId="0" fontId="29" fillId="0" borderId="22" xfId="0" applyFont="1" applyBorder="1" applyAlignment="1">
      <alignment horizontal="left" vertical="center" indent="1"/>
    </xf>
    <xf numFmtId="0" fontId="18" fillId="0" borderId="4" xfId="0" applyFont="1" applyBorder="1" applyAlignment="1">
      <alignment horizontal="left" vertical="center" indent="1"/>
    </xf>
    <xf numFmtId="0" fontId="17" fillId="0" borderId="22" xfId="0" applyFont="1" applyBorder="1" applyAlignment="1">
      <alignment horizontal="left" vertical="center" indent="1"/>
    </xf>
    <xf numFmtId="0" fontId="20" fillId="0" borderId="22" xfId="0" applyFont="1" applyBorder="1" applyAlignment="1">
      <alignment horizontal="left" vertical="center" indent="1"/>
    </xf>
    <xf numFmtId="0" fontId="30" fillId="0" borderId="2" xfId="0" applyFont="1" applyBorder="1" applyAlignment="1">
      <alignment horizontal="left" vertical="center" indent="1"/>
    </xf>
    <xf numFmtId="0" fontId="1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/>
    <xf numFmtId="0" fontId="9" fillId="4" borderId="3" xfId="0" applyFont="1" applyFill="1" applyBorder="1" applyAlignment="1">
      <alignment horizontal="center" vertical="center" wrapText="1"/>
    </xf>
    <xf numFmtId="0" fontId="9" fillId="4" borderId="2" xfId="0" applyFont="1" applyFill="1" applyBorder="1"/>
    <xf numFmtId="11" fontId="9" fillId="4" borderId="2" xfId="0" applyNumberFormat="1" applyFont="1" applyFill="1" applyBorder="1"/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9" fillId="0" borderId="4" xfId="0" applyFont="1" applyBorder="1"/>
    <xf numFmtId="20" fontId="9" fillId="0" borderId="4" xfId="0" applyNumberFormat="1" applyFon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 wrapText="1"/>
    </xf>
    <xf numFmtId="0" fontId="2" fillId="0" borderId="4" xfId="0" applyFont="1" applyBorder="1"/>
    <xf numFmtId="0" fontId="12" fillId="0" borderId="4" xfId="0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2" fillId="0" borderId="2" xfId="0" applyFont="1" applyBorder="1"/>
    <xf numFmtId="0" fontId="12" fillId="0" borderId="2" xfId="0" applyFont="1" applyBorder="1" applyAlignment="1">
      <alignment horizontal="center" vertical="center"/>
    </xf>
    <xf numFmtId="166" fontId="19" fillId="0" borderId="2" xfId="0" applyNumberFormat="1" applyFont="1" applyBorder="1" applyAlignment="1">
      <alignment horizontal="center" vertical="center"/>
    </xf>
    <xf numFmtId="166" fontId="19" fillId="0" borderId="4" xfId="0" applyNumberFormat="1" applyFont="1" applyBorder="1" applyAlignment="1">
      <alignment horizontal="center" vertical="center"/>
    </xf>
    <xf numFmtId="166" fontId="9" fillId="0" borderId="4" xfId="0" applyNumberFormat="1" applyFont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  <xf numFmtId="20" fontId="9" fillId="0" borderId="2" xfId="0" applyNumberFormat="1" applyFont="1" applyBorder="1" applyAlignment="1">
      <alignment horizontal="center" vertical="center"/>
    </xf>
    <xf numFmtId="0" fontId="12" fillId="0" borderId="0" xfId="0" applyFont="1"/>
    <xf numFmtId="0" fontId="16" fillId="0" borderId="2" xfId="0" applyFont="1" applyBorder="1" applyAlignment="1">
      <alignment horizontal="left" vertical="center" indent="1"/>
    </xf>
    <xf numFmtId="0" fontId="9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0" fillId="0" borderId="0" xfId="0" applyAlignment="1">
      <alignment vertical="center"/>
    </xf>
    <xf numFmtId="0" fontId="31" fillId="0" borderId="2" xfId="0" applyFont="1" applyBorder="1" applyAlignment="1">
      <alignment vertical="center" indent="1"/>
    </xf>
    <xf numFmtId="0" fontId="21" fillId="13" borderId="2" xfId="0" applyFont="1" applyFill="1" applyBorder="1" applyAlignment="1">
      <alignment horizontal="left" vertical="center" indent="1"/>
    </xf>
    <xf numFmtId="0" fontId="32" fillId="0" borderId="4" xfId="0" applyFont="1" applyBorder="1" applyAlignment="1">
      <alignment horizontal="left" vertical="center"/>
    </xf>
    <xf numFmtId="0" fontId="32" fillId="0" borderId="4" xfId="0" applyFont="1" applyBorder="1" applyAlignment="1">
      <alignment horizontal="left" vertical="center" indent="1"/>
    </xf>
    <xf numFmtId="0" fontId="31" fillId="0" borderId="4" xfId="0" applyFont="1" applyBorder="1" applyAlignment="1">
      <alignment horizontal="left" vertical="center" indent="1"/>
    </xf>
    <xf numFmtId="16" fontId="0" fillId="0" borderId="0" xfId="0" applyNumberFormat="1"/>
    <xf numFmtId="0" fontId="9" fillId="16" borderId="2" xfId="0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2" fontId="10" fillId="0" borderId="0" xfId="0" applyNumberFormat="1" applyFont="1" applyAlignment="1">
      <alignment vertical="center"/>
    </xf>
    <xf numFmtId="0" fontId="0" fillId="0" borderId="2" xfId="0" applyBorder="1" applyAlignment="1">
      <alignment vertical="center"/>
    </xf>
    <xf numFmtId="0" fontId="9" fillId="4" borderId="2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27" fillId="3" borderId="4" xfId="0" quotePrefix="1" applyFont="1" applyFill="1" applyBorder="1" applyAlignment="1">
      <alignment horizontal="left" vertical="center" wrapText="1"/>
    </xf>
    <xf numFmtId="0" fontId="28" fillId="3" borderId="4" xfId="0" quotePrefix="1" applyFont="1" applyFill="1" applyBorder="1" applyAlignment="1">
      <alignment horizontal="left" vertical="center" wrapText="1" indent="1"/>
    </xf>
    <xf numFmtId="0" fontId="25" fillId="3" borderId="4" xfId="0" applyFont="1" applyFill="1" applyBorder="1" applyAlignment="1">
      <alignment horizontal="left" vertical="center" wrapText="1"/>
    </xf>
    <xf numFmtId="0" fontId="28" fillId="3" borderId="4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33" fillId="0" borderId="2" xfId="0" applyFont="1" applyBorder="1" applyAlignment="1">
      <alignment horizontal="left" vertical="center" indent="1"/>
    </xf>
    <xf numFmtId="0" fontId="21" fillId="17" borderId="2" xfId="0" applyFont="1" applyFill="1" applyBorder="1" applyAlignment="1">
      <alignment horizontal="left" vertical="center" indent="1"/>
    </xf>
    <xf numFmtId="0" fontId="32" fillId="16" borderId="2" xfId="0" applyFont="1" applyFill="1" applyBorder="1" applyAlignment="1">
      <alignment horizontal="left" vertical="center"/>
    </xf>
    <xf numFmtId="0" fontId="32" fillId="0" borderId="2" xfId="0" applyFont="1" applyBorder="1" applyAlignment="1">
      <alignment horizontal="left" vertical="center" indent="1"/>
    </xf>
    <xf numFmtId="0" fontId="13" fillId="10" borderId="3" xfId="0" applyFont="1" applyFill="1" applyBorder="1" applyAlignment="1">
      <alignment horizontal="center"/>
    </xf>
    <xf numFmtId="10" fontId="13" fillId="10" borderId="5" xfId="0" applyNumberFormat="1" applyFont="1" applyFill="1" applyBorder="1" applyAlignment="1">
      <alignment horizontal="center"/>
    </xf>
    <xf numFmtId="0" fontId="13" fillId="10" borderId="5" xfId="0" applyFont="1" applyFill="1" applyBorder="1" applyAlignment="1">
      <alignment horizontal="center"/>
    </xf>
    <xf numFmtId="0" fontId="13" fillId="10" borderId="5" xfId="0" applyFont="1" applyFill="1" applyBorder="1" applyAlignment="1">
      <alignment horizontal="center" vertical="center"/>
    </xf>
    <xf numFmtId="0" fontId="13" fillId="10" borderId="10" xfId="0" applyFont="1" applyFill="1" applyBorder="1" applyAlignment="1">
      <alignment horizontal="center"/>
    </xf>
    <xf numFmtId="0" fontId="13" fillId="10" borderId="9" xfId="0" applyFont="1" applyFill="1" applyBorder="1" applyAlignment="1">
      <alignment horizontal="center"/>
    </xf>
    <xf numFmtId="14" fontId="13" fillId="10" borderId="9" xfId="0" applyNumberFormat="1" applyFont="1" applyFill="1" applyBorder="1" applyAlignment="1">
      <alignment horizontal="center"/>
    </xf>
    <xf numFmtId="0" fontId="13" fillId="10" borderId="11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0" fontId="1" fillId="14" borderId="2" xfId="0" applyNumberFormat="1" applyFont="1" applyFill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2" xfId="0" applyFont="1" applyBorder="1"/>
    <xf numFmtId="14" fontId="1" fillId="0" borderId="2" xfId="0" applyNumberFormat="1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wrapText="1"/>
    </xf>
    <xf numFmtId="14" fontId="1" fillId="0" borderId="2" xfId="0" applyNumberFormat="1" applyFont="1" applyBorder="1"/>
    <xf numFmtId="0" fontId="1" fillId="4" borderId="2" xfId="0" applyFont="1" applyFill="1" applyBorder="1"/>
    <xf numFmtId="164" fontId="1" fillId="4" borderId="2" xfId="0" applyNumberFormat="1" applyFont="1" applyFill="1" applyBorder="1" applyAlignment="1">
      <alignment horizontal="center" vertical="center"/>
    </xf>
    <xf numFmtId="14" fontId="1" fillId="4" borderId="2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6" xfId="0" applyFont="1" applyBorder="1" applyAlignment="1">
      <alignment horizontal="center" vertical="center"/>
    </xf>
    <xf numFmtId="0" fontId="1" fillId="0" borderId="4" xfId="0" applyFont="1" applyBorder="1"/>
    <xf numFmtId="0" fontId="1" fillId="0" borderId="4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4" fontId="1" fillId="0" borderId="18" xfId="0" applyNumberFormat="1" applyFont="1" applyBorder="1" applyAlignment="1">
      <alignment wrapText="1"/>
    </xf>
    <xf numFmtId="14" fontId="1" fillId="0" borderId="18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/>
    <xf numFmtId="14" fontId="1" fillId="0" borderId="18" xfId="0" applyNumberFormat="1" applyFont="1" applyBorder="1"/>
    <xf numFmtId="164" fontId="1" fillId="0" borderId="21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/>
    <xf numFmtId="14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5" fontId="1" fillId="0" borderId="4" xfId="0" applyNumberFormat="1" applyFont="1" applyBorder="1"/>
  </cellXfs>
  <cellStyles count="1">
    <cellStyle name="Normal" xfId="0" builtinId="0"/>
  </cellStyles>
  <dxfs count="274">
    <dxf>
      <font>
        <b/>
        <i val="0"/>
        <color theme="6"/>
      </font>
    </dxf>
    <dxf>
      <font>
        <b val="0"/>
        <color rgb="FF000000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color rgb="FF0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 tint="-4.9989318521683403E-2"/>
        <name val="Calibri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numFmt numFmtId="164" formatCode="dd/mm/yy;@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dd/mm/yy;@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4" formatCode="dd/mm/yy;@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dd/mm/yy;@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7" formatCode="dd/mm/yyyy"/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m/d/yyyy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4" formatCode="dd/mm/yy;@"/>
      <alignment horizontal="center" vertical="center" textRotation="0" wrapText="0" indent="0" justifyLastLine="0" shrinkToFit="0" readingOrder="0"/>
      <border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dd/mm/yy;@"/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tillium Web"/>
        <scheme val="none"/>
      </font>
      <alignment horizontal="center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tillium Web"/>
        <scheme val="none"/>
      </font>
      <alignment horizontal="center" vertical="center" textRotation="0" wrapText="0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tillium Web"/>
        <scheme val="none"/>
      </font>
      <alignment horizontal="center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tillium Web"/>
        <scheme val="none"/>
      </font>
      <alignment horizontal="center" vertical="center" textRotation="0" wrapText="0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tillium Web"/>
        <scheme val="none"/>
      </font>
      <alignment horizontal="center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tillium Web"/>
        <scheme val="none"/>
      </font>
      <alignment horizontal="center" vertical="center" textRotation="0" wrapText="0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tillium Web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left" vertical="center" textRotation="0" wrapText="0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z val="10"/>
        <color rgb="FF000000"/>
      </font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left" vertical="center" textRotation="0" wrapText="0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z val="8"/>
        <color rgb="FF000000"/>
      </font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left" vertical="center" textRotation="0" wrapText="0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z val="8"/>
        <color rgb="FF000000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left" vertical="center" textRotation="0" wrapText="0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tillium Web"/>
        <scheme val="none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color theme="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b/>
        <i val="0"/>
        <color theme="6"/>
      </font>
    </dxf>
    <dxf>
      <font>
        <b/>
        <i val="0"/>
        <color theme="6"/>
      </font>
    </dxf>
    <dxf>
      <font>
        <b/>
        <i val="0"/>
        <color theme="6"/>
      </font>
    </dxf>
    <dxf>
      <font>
        <b/>
        <i val="0"/>
        <color theme="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/>
      </font>
    </dxf>
    <dxf>
      <font>
        <b val="0"/>
        <color rgb="FF000000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color rgb="FF0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 tint="-4.9989318521683403E-2"/>
        <name val="Calibri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numFmt numFmtId="164" formatCode="dd/mm/yy;@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dd/mm/yy;@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7" formatCode="dd/mm/yyyy"/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dd/mm/yy;@"/>
      <alignment horizontal="center" vertical="center" textRotation="0" wrapText="0" indent="0" justifyLastLine="0" shrinkToFit="0" readingOrder="0"/>
      <border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tillium Web"/>
        <scheme val="none"/>
      </font>
      <alignment horizontal="center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tillium Web"/>
        <scheme val="none"/>
      </font>
      <alignment horizontal="center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tillium Web"/>
        <scheme val="none"/>
      </font>
      <alignment horizontal="center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tillium Web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tillium Web"/>
        <scheme val="none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/>
      </font>
    </dxf>
    <dxf>
      <font>
        <b/>
        <i val="0"/>
        <color theme="6"/>
      </font>
    </dxf>
    <dxf>
      <font>
        <b/>
        <i val="0"/>
        <color theme="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/>
      </font>
    </dxf>
  </dxfs>
  <tableStyles count="0" defaultTableStyle="TableStyleMedium2" defaultPivotStyle="PivotStyleMedium9"/>
  <colors>
    <mruColors>
      <color rgb="FFBF1111"/>
      <color rgb="FFB06A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0</xdr:row>
      <xdr:rowOff>85725</xdr:rowOff>
    </xdr:from>
    <xdr:to>
      <xdr:col>5</xdr:col>
      <xdr:colOff>276225</xdr:colOff>
      <xdr:row>3</xdr:row>
      <xdr:rowOff>161925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BE9976-5DDC-6A83-9E08-B9719C68D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9275" y="85725"/>
          <a:ext cx="3124200" cy="11906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08CDD7-7E8C-4009-83BD-D3991EFC761D}" name="Tabela2" displayName="Tabela2" ref="E5:AQ57" totalsRowShown="0" headerRowDxfId="220" tableBorderDxfId="219">
  <autoFilter ref="E5:AQ57" xr:uid="{1908CDD7-7E8C-4009-83BD-D3991EFC761D}"/>
  <tableColumns count="39">
    <tableColumn id="1" xr3:uid="{BD6C2F2B-10E7-45F1-840C-ECF6E9DD9764}" name="Coluna1" dataDxfId="218"/>
    <tableColumn id="2" xr3:uid="{B15D79A9-B4ED-45EF-A862-965CCFAC185A}" name="CURSOS" dataDxfId="217"/>
    <tableColumn id="3" xr3:uid="{2D161390-6DC6-445F-8373-B0E2E9F97178}" name="POLO" dataDxfId="216"/>
    <tableColumn id="4" xr3:uid="{AAE1825E-D836-4893-893D-7382EB5D98F0}" name="NOME DO TUTOR" dataDxfId="215"/>
    <tableColumn id="5" xr3:uid="{19171BA0-B4C5-4B55-92A5-354B7EA6C6FE}" name="1° COBRANÇA GERENCIAMENTO ORDEM 03" dataDxfId="214"/>
    <tableColumn id="6" xr3:uid="{0993F02D-5143-4E40-9124-2D6921C1645D}" name="2° COBRANÇA GERENCIAMENTO ORDEM 03" dataDxfId="213"/>
    <tableColumn id="16" xr3:uid="{B939C24D-1DC0-4A79-B2AC-60880342B5E0}" name="3° COBRANÇA GERENCIAMENTO ORDEM 03" dataDxfId="212"/>
    <tableColumn id="7" xr3:uid="{5B1DAA32-0BE5-4297-8A2E-B7FBE2BB9A6C}" name="ORDEM 01" dataDxfId="211"/>
    <tableColumn id="30" xr3:uid="{A363C052-3421-4DAE-97E2-3472F2782D95}" name="OBSERVAÇÃO O.1" dataDxfId="210"/>
    <tableColumn id="8" xr3:uid="{7CF7D73A-A1A2-4863-8ABD-36903C7115E4}" name="ORDEM 02" dataDxfId="209"/>
    <tableColumn id="31" xr3:uid="{95708C62-1D12-4F25-86D7-0100935B92A6}" name="OBSERVAÇÃO O.2" dataDxfId="208"/>
    <tableColumn id="9" xr3:uid="{71F4CB9C-FF89-4811-A5A9-100438AC044E}" name="ORDEM 03" dataDxfId="207"/>
    <tableColumn id="32" xr3:uid="{E91EF910-EBEF-4BE0-BD5D-40C12D8DB410}" name="OBSERVAÇÃO O.3" dataDxfId="206"/>
    <tableColumn id="10" xr3:uid="{5B7CC582-BB20-479B-8B72-EE95385D499E}" name="ORDEM 04" dataDxfId="205"/>
    <tableColumn id="33" xr3:uid="{6A4131D6-836C-4B46-B672-66D27C5757AB}" name="OBSERVAÇÃO O.4" dataDxfId="204"/>
    <tableColumn id="11" xr3:uid="{88A04E0F-0B39-434E-ACD8-DFFB990EF2BF}" name="ORDEM 05" dataDxfId="203"/>
    <tableColumn id="38" xr3:uid="{AE5FFF51-023E-4219-9B3E-583A559584F0}" name="OBSERVAÇÃO O.5" dataDxfId="202"/>
    <tableColumn id="12" xr3:uid="{27176208-E629-4AD5-88FB-071ECCC2A5FD}" name="PORTIFOLIO REFERENTE A ORDEM 01" dataDxfId="201"/>
    <tableColumn id="18" xr3:uid="{91A58BF4-FD17-45F1-80DD-8EFEECBF84C6}" name="PORTIFOLIO REFERENTE A ORDEM 02" dataDxfId="200"/>
    <tableColumn id="28" xr3:uid="{253D5F32-AD32-400C-91EF-D9C2E898E7DC}" name="PORTIFOLIO REFERENTE A ORDEM 03" dataDxfId="199"/>
    <tableColumn id="29" xr3:uid="{D155AB55-D774-47C1-9601-907976B5256B}" name="PORTIFOLIO REFERENTE A ORDEM 04" dataDxfId="198"/>
    <tableColumn id="39" xr3:uid="{5876713A-C5C6-4791-974B-F1E092B70C02}" name="PORTIFOLIO REFERENTE A ORDEM 05" dataDxfId="197"/>
    <tableColumn id="17" xr3:uid="{B3419C4F-A51C-4AEE-BAD9-17768580DAC6}" name="REGISTRO PROFISSIONAL" dataDxfId="196"/>
    <tableColumn id="13" xr3:uid="{6220E778-B2E0-4A4A-BC0E-E2200E847805}" name="CHECKLIST" dataDxfId="195"/>
    <tableColumn id="14" xr3:uid="{2099E453-9898-480A-8DCB-BC6EEC7F11D6}" name="ENVIO MEC" dataDxfId="194"/>
    <tableColumn id="15" xr3:uid="{B2747F1A-156E-43A5-9416-222591441C6B}" name="CONTRATO" dataDxfId="193"/>
    <tableColumn id="20" xr3:uid="{680B56EE-5C1B-4143-9716-0274526EE678}" name="DATA DE ENTRADA A PARTIR DE MARÇO/2026" dataDxfId="192"/>
    <tableColumn id="19" xr3:uid="{3960B9A8-2DA0-4446-9E33-45BDC41F0ECD}" name="AÇAO DE COMUNICAÇÃO DE NOVOS TUTORES AOS MULTIPLICADORES (grupo com o Phillipe+Email Elienai)   (TUTOR FACILITADOR)  DATA DE INICIO" dataDxfId="191"/>
    <tableColumn id="22" xr3:uid="{3F1C3CDC-BCD7-4CA6-90EE-9E67D1597977}" name="DATA DE ENVIO " dataDxfId="190"/>
    <tableColumn id="21" xr3:uid="{B3301633-DCDE-4387-A2F3-1ABF8AE3AAD6}" name="ETAPA 01 - ANTES DO ONBOARDING ACIONAR(Whatssap)  E ENVIO DE BOAS VINDAS E LINK DA REUNIÃO ONBOARD PARA TUTOR NOVO (TUTOR MULTIPLICADOR)" dataDxfId="189"/>
    <tableColumn id="34" xr3:uid="{89B79E54-9673-4FAB-8520-58BD96458F51}" name="ETAPA 02 - PÓS ONBOARDING ENVIO DE BOAS VINDAS DOS LINKS, VITRU ACADEMY, PLANILHA MEC, PLANILHA CONSENHO REGISTRO, ENVIO DO MATERIAL DE APRESENTAÇÃO ONBOARDING E SOLICITAÇÃO DA ASSINATURA E COPIA DO CONTRATO DE ADMISSÃO (TUTOR MULTIPLICADOR)" dataDxfId="188"/>
    <tableColumn id="25" xr3:uid="{B7EB1D8A-3567-438D-A574-9E424A478602}" name="DATA DE INICIO DAS TRILHAS" dataDxfId="187"/>
    <tableColumn id="24" xr3:uid="{3F9443FF-CD59-45E8-8857-D8AA5F5C291B}" name="DATA DE FINALIÇÃO DAS TRILHAS2" dataDxfId="186"/>
    <tableColumn id="23" xr3:uid="{0A1BE233-48C1-4D3A-9455-E11758A50E55}" name="ETAPA 03 - ACOMPANHAMENTO SEMANAL. VITRU ACADEMY ACOMPANHAMENTO DAS ATIVIDADES E EVOÇUÇÃO DOS TREINAMENTOS (TUTOR MULTIPLICADOR)" dataDxfId="185"/>
    <tableColumn id="26" xr3:uid="{3EC0FC3B-07B0-49B7-8622-625303E50D53}" name="APLICAÇÃO DO CHECK-LIST" dataDxfId="184"/>
    <tableColumn id="27" xr3:uid="{748CFBF1-6134-4333-9C2F-65957655B2C1}" name="ALINHAMENTO DO DIA DE PRATICAS JUNTO AO POLO " dataDxfId="183"/>
    <tableColumn id="35" xr3:uid="{5756C63E-FAC1-46E8-939C-754C00DF74C2}" name="AGENDAMENTO E ACOMPANHAMENTO PARA O PRIMEIRO GERENCIAMENTO DO NOVO TUTOR (A) - (OBS, VOLL PARA NUTRIÇÃO)." dataDxfId="182"/>
    <tableColumn id="36" xr3:uid="{E9CB174A-0F81-4C5E-92DD-D42E8A06362B}" name="DATA - PEDIDO DE DEMISSÃO . (OBS, MULTIPLICADOR ENVIAR A CARTA)" dataDxfId="181"/>
    <tableColumn id="37" xr3:uid="{82F9E60B-0F3B-4662-BFB5-076B9903325B}" name="DATA - ENVIO DE CARTA ASSINADA." dataDxfId="18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631AA6-75A7-422C-B0C3-317BA643491D}" name="Tabela3" displayName="Tabela3" ref="C5:D57" totalsRowShown="0" headerRowDxfId="179" dataDxfId="178" headerRowBorderDxfId="176" tableBorderDxfId="177">
  <autoFilter ref="C5:D57" xr:uid="{A1631AA6-75A7-422C-B0C3-317BA643491D}"/>
  <tableColumns count="2">
    <tableColumn id="1" xr3:uid="{2F6E9B7B-F07B-4506-B1EC-2058743B6364}" name="ADMISSÃO" dataDxfId="175"/>
    <tableColumn id="2" xr3:uid="{223E9C87-DC23-41EF-B20E-83BA187C63A7}" name="CARGA HORARIA" dataDxfId="17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69DCC8-60E9-4E01-8603-A3F8961AF30D}" name="Tabela22" displayName="Tabela22" ref="D4:AP63" totalsRowCount="1" headerRowDxfId="87" totalsRowDxfId="86" tableBorderDxfId="85">
  <autoFilter ref="D4:AP62" xr:uid="{1C69DCC8-60E9-4E01-8603-A3F8961AF30D}">
    <filterColumn colId="13">
      <filters blank="1">
        <filter val="L. MARTENIDADE"/>
        <filter val="PENDENTE"/>
      </filters>
    </filterColumn>
  </autoFilter>
  <tableColumns count="39">
    <tableColumn id="1" xr3:uid="{0A487D00-718C-4B4B-81E4-87FD15F7A639}" name="Coluna1" totalsRowLabel="QUÍMICA E FÍSICA" dataDxfId="83" totalsRowDxfId="84"/>
    <tableColumn id="2" xr3:uid="{24EA3E56-7FB5-45B3-BBAD-2C7577B8220D}" name="CURSOS" totalsRowLabel="AGM" dataDxfId="81" totalsRowDxfId="82"/>
    <tableColumn id="3" xr3:uid="{F4D246D9-F689-4FFF-9FD6-F3B071CE1016}" name="POLO" totalsRowLabel="Tangará da Serra/MT" dataDxfId="79" totalsRowDxfId="80"/>
    <tableColumn id="4" xr3:uid="{54743E88-5CC9-407E-BA58-7BE16DE86BFA}" name="NOME DO TUTOR" totalsRowLabel="inaiana maria caetano dos santos " dataDxfId="77" totalsRowDxfId="78"/>
    <tableColumn id="5" xr3:uid="{9CF0538B-85A9-47C3-A1F0-3D18113EFD30}" name="OBSERVAÇÃO GERAL NIVEL 1" dataDxfId="75" totalsRowDxfId="76"/>
    <tableColumn id="6" xr3:uid="{BF7C3614-859B-4069-B517-4194FA004B65}" name="OBSERVAÇÃO GERAL NIVEL 2" dataDxfId="73" totalsRowDxfId="74"/>
    <tableColumn id="16" xr3:uid="{AD6D6227-6965-41DC-B64C-6385EAE2757D}" name="OBSERVAÇÃO GERAL  NIVEL 3" dataDxfId="71" totalsRowDxfId="72"/>
    <tableColumn id="7" xr3:uid="{F628217D-4DCF-4651-A249-173D7580E4ED}" name="ORDEM 01" dataDxfId="69" totalsRowDxfId="70"/>
    <tableColumn id="30" xr3:uid="{30C03E3D-0FCE-4F64-83D7-0E1293D5FEA4}" name="OBSERVAÇÃO O.1" totalsRowLabel="TUTOR NOVO " dataDxfId="67" totalsRowDxfId="68"/>
    <tableColumn id="8" xr3:uid="{41AA1498-CE13-4677-BA5E-B45A95E0ABE1}" name="ORDEM 02" totalsRowLabel="TUTOR NOVO " dataDxfId="65" totalsRowDxfId="66"/>
    <tableColumn id="31" xr3:uid="{7A77179B-017D-4E2B-ABC3-CD9F783EA867}" name="OBSERVAÇÃO O.2" totalsRowLabel="TUTOR NOVO " dataDxfId="63" totalsRowDxfId="64"/>
    <tableColumn id="9" xr3:uid="{6E3B7571-A02A-4FDD-B3C5-B50BF76E8CFA}" name="ORDEM 03" totalsRowLabel="PENDENTE" dataDxfId="61" totalsRowDxfId="62"/>
    <tableColumn id="32" xr3:uid="{302F1045-5003-42CB-92A0-7475370E6200}" name="OBSERVAÇÃO O.3" dataDxfId="59" totalsRowDxfId="60"/>
    <tableColumn id="10" xr3:uid="{9C406D23-EC2C-404B-AE25-0FA9FE8FD51B}" name="ORDEM 04" dataDxfId="57" totalsRowDxfId="58"/>
    <tableColumn id="33" xr3:uid="{CDC6B0FB-F5B4-40CA-8CF2-C6CC53E48C51}" name="OBSERVAÇÃO O.4" dataDxfId="55" totalsRowDxfId="56"/>
    <tableColumn id="11" xr3:uid="{11070A9E-FC51-48EF-A721-87E2A6FE8FB0}" name="ORDEM 05" dataDxfId="53" totalsRowDxfId="54"/>
    <tableColumn id="38" xr3:uid="{DED0707B-C1CB-409A-9D43-0043E18EC2AA}" name="OBSERVAÇÃO O.5" dataDxfId="51" totalsRowDxfId="52"/>
    <tableColumn id="12" xr3:uid="{5EBC5A2A-1267-4696-88D5-8186A611A068}" name="PORTIFOLIO REFERENTE A ORDEM 01" dataDxfId="49" totalsRowDxfId="50"/>
    <tableColumn id="18" xr3:uid="{336FC514-A278-417E-92D4-5C37048134D9}" name="PORTIFOLIO REFERENTE A ORDEM 02" dataDxfId="47" totalsRowDxfId="48"/>
    <tableColumn id="28" xr3:uid="{739FD46D-1746-481B-840E-FEF769D51C5F}" name="PORTIFOLIO REFERENTE A ORDEM 03" dataDxfId="45" totalsRowDxfId="46"/>
    <tableColumn id="29" xr3:uid="{960251AE-AE2D-4CED-B51F-3729343A01ED}" name="PORTIFOLIO REFERENTE A ORDEM 04" dataDxfId="43" totalsRowDxfId="44"/>
    <tableColumn id="39" xr3:uid="{5A98A93E-A721-4980-96E2-25AC081FFC05}" name="PORTIFOLIO REFERENTE A ORDEM 05" dataDxfId="41" totalsRowDxfId="42"/>
    <tableColumn id="17" xr3:uid="{44F990CB-4DBE-4586-A2CB-B9F0E012C5D9}" name="REGISTRO PROFISSIONAL" dataDxfId="39" totalsRowDxfId="40"/>
    <tableColumn id="13" xr3:uid="{49EAECC2-F7CE-4CC2-A813-691691456218}" name="CHECKLIST" dataDxfId="37" totalsRowDxfId="38"/>
    <tableColumn id="14" xr3:uid="{E9B12127-1868-4120-925F-1B2916387EEC}" name="ENVIO MEC" dataDxfId="35" totalsRowDxfId="36"/>
    <tableColumn id="15" xr3:uid="{B5E20580-4BB0-4F22-A13D-8EE474B57B09}" name="CONTRATO" dataDxfId="33" totalsRowDxfId="34"/>
    <tableColumn id="20" xr3:uid="{5E344D8F-A401-4D19-928A-03F2D4103772}" name="DATA DE ENTRADA A PARTIR DE MARÇO/2026" dataDxfId="31" totalsRowDxfId="32"/>
    <tableColumn id="19" xr3:uid="{0EFC70EB-716B-47E1-9D83-8A106EAEFBB6}" name="AÇAO DE COMUNICAÇÃO DE NOVOS TUTORES AOS MULTIPLICADORES (grupo com o Phillipe+Email Elienai)   (TUTOR FACILITADOR)  DATA DE INICIO" dataDxfId="29" totalsRowDxfId="30"/>
    <tableColumn id="22" xr3:uid="{25C731AD-1A69-45AA-95A8-122D55FCCF19}" name="DATA DE ENVIO " dataDxfId="27" totalsRowDxfId="28"/>
    <tableColumn id="21" xr3:uid="{013F0D90-E809-486B-9993-0C51AB5C4D70}" name="ETAPA 01 - ANTES DO ONBOARDING ACIONAR(Whatssap)  E ENVIO DE BOAS VINDAS E LINK DA REUNIÃO ONBOARD PARA TUTOR NOVO (TUTOR MULTIPLICADOR)" dataDxfId="25" totalsRowDxfId="26"/>
    <tableColumn id="34" xr3:uid="{5890A94A-1E8C-4A8A-9797-11165DB67D75}" name="ETAPA 02 - PÓS ONBOARDING ENVIO DE BOAS VINDAS DOS LINKS, VITRU ACADEMY, PLANILHA MEC, PLANILHA CONSENHO REGISTRO, ENVIO DO MATERIAL DE APRESENTAÇÃO ONBOARDING E SOLICITAÇÃO DA ASSINATURA E COPIA DO CONTRATO DE ADMISSÃO (TUTOR MULTIPLICADOR)" dataDxfId="23" totalsRowDxfId="24"/>
    <tableColumn id="25" xr3:uid="{DC2F0E3A-A7AE-4579-A7D0-6C98349EEE26}" name="DATA DE INICIO DAS TRILHAS" dataDxfId="21" totalsRowDxfId="22"/>
    <tableColumn id="24" xr3:uid="{40366CCC-C9E9-47F1-B6C3-C9354200F6C6}" name="DATA DE FINALIÇÃO DAS TRILHAS2" dataDxfId="19" totalsRowDxfId="20"/>
    <tableColumn id="23" xr3:uid="{F25796B3-0C0C-48CB-AD56-CACBE332EA55}" name="ETAPA 03 - ACOMPANHAMENTO SEMANAL. VITRU ACADEMY ACOMPANHAMENTO DAS ATIVIDADES E EVOÇUÇÃO DOS TREINAMENTOS (TUTOR MULTIPLICADOR)" dataDxfId="17" totalsRowDxfId="18"/>
    <tableColumn id="26" xr3:uid="{C69AB433-2088-49D4-9BAB-F15B4D69D6B2}" name="APLICAÇÃO DO CHECK-LIST" dataDxfId="15" totalsRowDxfId="16"/>
    <tableColumn id="27" xr3:uid="{BDDA3F79-5CF3-401D-AF98-6E27B477B320}" name="ALINHAMENTO DO DIA DE PRATICAS JUNTO AO POLO " dataDxfId="13" totalsRowDxfId="14"/>
    <tableColumn id="35" xr3:uid="{B3B8EC72-77D7-45C3-AD81-71569340E00C}" name="AGENDAMENTO E ACOMPANHAMENTO PARA O PRIMEIRO GERENCIAMENTO DO NOVO TUTOR (A) - (OBS, VOLL PARA NUTRIÇÃO)." dataDxfId="11" totalsRowDxfId="12"/>
    <tableColumn id="36" xr3:uid="{24510455-6D1E-4160-AF44-9B85478A6B2E}" name="DATA - PEDIDO DE DEMISSÃO . (OBS, MULTIPLICADOR ENVIAR A CARTA)" dataDxfId="9" totalsRowDxfId="10"/>
    <tableColumn id="37" xr3:uid="{8D30CE19-C391-4FA4-94A3-052B6A772E25}" name="DATA - ENVIO DE CARTA ASSINADA." dataDxfId="7" totalsRow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3A379F-5D8B-4347-B709-1941F4E17353}" name="Tabela35" displayName="Tabela35" ref="B4:C68" totalsRowShown="0" headerRowDxfId="6" dataDxfId="5" headerRowBorderDxfId="3" tableBorderDxfId="4">
  <autoFilter ref="B4:C68" xr:uid="{6E3A379F-5D8B-4347-B709-1941F4E17353}"/>
  <tableColumns count="2">
    <tableColumn id="1" xr3:uid="{D6A94C1A-B236-446E-913D-14AB2320D8EA}" name="ADMISSÃO" dataDxfId="2"/>
    <tableColumn id="2" xr3:uid="{72DCDCB4-E58C-4F21-9C85-C67C5956FA65}" name="=PROCV(F3,'02semestre'!B4:AP63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4"/>
  <sheetViews>
    <sheetView topLeftCell="O5" workbookViewId="0">
      <selection activeCell="Y13" sqref="Y13"/>
    </sheetView>
  </sheetViews>
  <sheetFormatPr defaultRowHeight="15"/>
  <cols>
    <col min="2" max="2" width="0" hidden="1" customWidth="1"/>
    <col min="3" max="3" width="10" hidden="1" customWidth="1"/>
    <col min="4" max="4" width="22.5703125" hidden="1" customWidth="1"/>
    <col min="5" max="5" width="13.5703125" hidden="1" customWidth="1"/>
    <col min="6" max="6" width="36.5703125" hidden="1" customWidth="1"/>
    <col min="7" max="7" width="13.42578125" style="38" hidden="1" customWidth="1"/>
    <col min="8" max="8" width="11.28515625" customWidth="1"/>
    <col min="9" max="9" width="36" bestFit="1" customWidth="1"/>
  </cols>
  <sheetData>
    <row r="2" spans="2:10">
      <c r="B2" s="14"/>
      <c r="C2" s="14"/>
      <c r="D2" s="14"/>
      <c r="E2" s="14"/>
      <c r="F2" s="14"/>
      <c r="H2" s="14"/>
      <c r="I2" s="14"/>
      <c r="J2" s="14"/>
    </row>
    <row r="3" spans="2:10" ht="30.75" customHeight="1">
      <c r="B3" s="14"/>
      <c r="C3" s="15" t="s">
        <v>0</v>
      </c>
      <c r="D3" s="17" t="s">
        <v>1</v>
      </c>
      <c r="E3" s="17"/>
      <c r="F3" s="17" t="s">
        <v>2</v>
      </c>
      <c r="G3" s="17" t="s">
        <v>3</v>
      </c>
      <c r="H3" s="16"/>
      <c r="I3" s="16" t="s">
        <v>4</v>
      </c>
      <c r="J3" s="14"/>
    </row>
    <row r="4" spans="2:10">
      <c r="B4" s="14"/>
      <c r="C4" s="3"/>
      <c r="D4" s="18" t="s">
        <v>5</v>
      </c>
      <c r="E4" s="2"/>
      <c r="F4" s="20" t="s">
        <v>6</v>
      </c>
      <c r="G4" s="2"/>
      <c r="H4" s="3"/>
      <c r="I4" s="4"/>
      <c r="J4" s="14"/>
    </row>
    <row r="5" spans="2:10" ht="17.25">
      <c r="B5" s="14"/>
      <c r="C5" s="3"/>
      <c r="D5" s="18" t="s">
        <v>7</v>
      </c>
      <c r="E5" s="2"/>
      <c r="F5" s="20" t="s">
        <v>8</v>
      </c>
      <c r="G5" s="39"/>
      <c r="H5" s="3"/>
      <c r="I5" s="3"/>
      <c r="J5" s="14"/>
    </row>
    <row r="6" spans="2:10" ht="17.25">
      <c r="B6" s="14"/>
      <c r="C6" s="3"/>
      <c r="D6" s="18" t="s">
        <v>9</v>
      </c>
      <c r="E6" s="2"/>
      <c r="F6" s="20" t="s">
        <v>10</v>
      </c>
      <c r="G6" s="39"/>
      <c r="H6" s="3"/>
      <c r="I6" s="3"/>
      <c r="J6" s="14"/>
    </row>
    <row r="7" spans="2:10" ht="17.25">
      <c r="B7" s="14"/>
      <c r="C7" s="3"/>
      <c r="D7" s="18" t="s">
        <v>11</v>
      </c>
      <c r="E7" s="2"/>
      <c r="F7" s="20" t="s">
        <v>12</v>
      </c>
      <c r="G7" s="39"/>
      <c r="H7" s="3"/>
      <c r="I7" s="3"/>
      <c r="J7" s="14"/>
    </row>
    <row r="8" spans="2:10" ht="17.25">
      <c r="B8" s="14"/>
      <c r="C8" s="3"/>
      <c r="D8" s="18"/>
      <c r="E8" s="2"/>
      <c r="F8" s="20" t="s">
        <v>13</v>
      </c>
      <c r="G8" s="39"/>
      <c r="H8" s="3" t="s">
        <v>14</v>
      </c>
      <c r="I8" s="3"/>
      <c r="J8" s="14"/>
    </row>
    <row r="9" spans="2:10" ht="17.25">
      <c r="B9" s="14"/>
      <c r="C9" s="3"/>
      <c r="D9" s="18"/>
      <c r="E9" s="2"/>
      <c r="F9" s="20" t="s">
        <v>15</v>
      </c>
      <c r="G9" s="39"/>
      <c r="H9" s="3" t="s">
        <v>16</v>
      </c>
      <c r="I9" s="3"/>
      <c r="J9" s="14"/>
    </row>
    <row r="10" spans="2:10" ht="17.25">
      <c r="B10" s="14"/>
      <c r="C10" s="3"/>
      <c r="D10" s="18"/>
      <c r="E10" s="2"/>
      <c r="F10" s="20" t="s">
        <v>17</v>
      </c>
      <c r="G10" s="39"/>
      <c r="H10" s="3"/>
      <c r="I10" s="3"/>
      <c r="J10" s="14"/>
    </row>
    <row r="11" spans="2:10" ht="17.25">
      <c r="B11" s="14"/>
      <c r="C11" s="3"/>
      <c r="D11" s="18"/>
      <c r="E11" s="2"/>
      <c r="F11" s="20" t="s">
        <v>18</v>
      </c>
      <c r="G11" s="39"/>
      <c r="H11" s="3"/>
      <c r="I11" s="3"/>
      <c r="J11" s="14"/>
    </row>
    <row r="12" spans="2:10" ht="17.25">
      <c r="B12" s="14"/>
      <c r="C12" s="3"/>
      <c r="D12" s="18"/>
      <c r="E12" s="2"/>
      <c r="F12" s="20" t="s">
        <v>19</v>
      </c>
      <c r="G12" s="39"/>
      <c r="H12" s="3"/>
      <c r="I12" s="3"/>
      <c r="J12" s="14"/>
    </row>
    <row r="13" spans="2:10" ht="17.25">
      <c r="B13" s="14"/>
      <c r="C13" s="3"/>
      <c r="D13" s="3"/>
      <c r="E13" s="4"/>
      <c r="F13" s="20" t="s">
        <v>20</v>
      </c>
      <c r="G13" s="39"/>
      <c r="H13" s="3"/>
      <c r="I13" s="3"/>
      <c r="J13" s="14"/>
    </row>
    <row r="14" spans="2:10">
      <c r="B14" s="14"/>
      <c r="C14" s="3"/>
      <c r="D14" s="3"/>
      <c r="E14" s="4"/>
      <c r="F14" s="20" t="s">
        <v>21</v>
      </c>
      <c r="G14" s="40"/>
      <c r="H14" s="3"/>
      <c r="I14" s="3"/>
      <c r="J14" s="14"/>
    </row>
    <row r="15" spans="2:10" ht="17.25">
      <c r="B15" s="14"/>
      <c r="C15" s="3"/>
      <c r="D15" s="3"/>
      <c r="E15" s="4"/>
      <c r="F15" s="20" t="s">
        <v>22</v>
      </c>
      <c r="G15" s="39"/>
      <c r="H15" s="3"/>
      <c r="I15" s="3"/>
      <c r="J15" s="14"/>
    </row>
    <row r="16" spans="2:10" ht="17.25">
      <c r="C16" s="1"/>
      <c r="D16" s="1"/>
      <c r="E16" s="2"/>
      <c r="F16" s="20" t="s">
        <v>23</v>
      </c>
      <c r="G16" s="39"/>
      <c r="H16" s="1"/>
      <c r="I16" s="1"/>
    </row>
    <row r="17" spans="2:9" ht="17.25">
      <c r="B17" t="s">
        <v>24</v>
      </c>
      <c r="C17" s="1"/>
      <c r="D17" s="1"/>
      <c r="E17" s="2"/>
      <c r="F17" s="20" t="s">
        <v>25</v>
      </c>
      <c r="G17" s="39"/>
      <c r="H17" s="1"/>
      <c r="I17" s="1"/>
    </row>
    <row r="18" spans="2:9" ht="17.25">
      <c r="B18" t="s">
        <v>26</v>
      </c>
      <c r="C18" s="1"/>
      <c r="D18" s="1"/>
      <c r="E18" s="2"/>
      <c r="F18" s="20" t="s">
        <v>27</v>
      </c>
      <c r="G18" s="39"/>
      <c r="H18" s="1"/>
      <c r="I18" s="1"/>
    </row>
    <row r="19" spans="2:9">
      <c r="F19" s="20" t="s">
        <v>28</v>
      </c>
    </row>
    <row r="20" spans="2:9">
      <c r="F20" s="20" t="s">
        <v>29</v>
      </c>
    </row>
    <row r="21" spans="2:9">
      <c r="F21" s="20" t="s">
        <v>30</v>
      </c>
    </row>
    <row r="22" spans="2:9">
      <c r="F22" s="20" t="s">
        <v>31</v>
      </c>
    </row>
    <row r="23" spans="2:9">
      <c r="F23" s="20" t="s">
        <v>32</v>
      </c>
    </row>
    <row r="24" spans="2:9">
      <c r="F24" s="20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8E25-DFCC-4548-9D50-553A37BE0ED4}">
  <dimension ref="C1:BG1746"/>
  <sheetViews>
    <sheetView topLeftCell="A11" workbookViewId="0">
      <selection activeCell="AD5" sqref="AD5"/>
    </sheetView>
  </sheetViews>
  <sheetFormatPr defaultColWidth="9.140625" defaultRowHeight="15"/>
  <cols>
    <col min="3" max="3" width="11.140625" style="8" bestFit="1" customWidth="1"/>
    <col min="4" max="4" width="14.5703125" style="8" bestFit="1" customWidth="1"/>
    <col min="5" max="5" width="26" customWidth="1"/>
    <col min="6" max="6" width="18.7109375" customWidth="1"/>
    <col min="7" max="7" width="31.42578125" customWidth="1"/>
    <col min="8" max="8" width="33.7109375" bestFit="1" customWidth="1"/>
    <col min="9" max="9" width="13.7109375" style="1" hidden="1" customWidth="1"/>
    <col min="10" max="10" width="13.85546875" style="1" hidden="1" customWidth="1"/>
    <col min="11" max="11" width="10.85546875" style="1" hidden="1" customWidth="1"/>
    <col min="12" max="12" width="18.28515625" style="8" hidden="1" customWidth="1"/>
    <col min="13" max="13" width="14.85546875" style="8" hidden="1" customWidth="1"/>
    <col min="14" max="14" width="18.28515625" style="8" hidden="1" customWidth="1"/>
    <col min="15" max="15" width="13.42578125" style="8" hidden="1" customWidth="1"/>
    <col min="16" max="16" width="17.7109375" style="8" hidden="1" customWidth="1"/>
    <col min="17" max="17" width="14.28515625" style="8" hidden="1" customWidth="1"/>
    <col min="18" max="18" width="17.7109375" hidden="1" customWidth="1"/>
    <col min="19" max="19" width="8.85546875" hidden="1" customWidth="1"/>
    <col min="20" max="20" width="25" style="8" hidden="1" customWidth="1"/>
    <col min="21" max="21" width="15.5703125" hidden="1" customWidth="1"/>
    <col min="22" max="22" width="16.28515625" style="8" hidden="1" customWidth="1"/>
    <col min="23" max="23" width="17" style="29" hidden="1" customWidth="1"/>
    <col min="24" max="24" width="13.28515625" style="8" hidden="1" customWidth="1"/>
    <col min="25" max="25" width="11.5703125" style="8" hidden="1" customWidth="1"/>
    <col min="26" max="26" width="11.5703125" style="8" customWidth="1"/>
    <col min="27" max="27" width="18.7109375" style="8" customWidth="1"/>
    <col min="28" max="28" width="14.28515625" style="8" bestFit="1" customWidth="1"/>
    <col min="29" max="29" width="11" style="8" bestFit="1" customWidth="1"/>
    <col min="30" max="30" width="16.140625" style="8" customWidth="1"/>
    <col min="31" max="31" width="27.5703125" style="58" bestFit="1" customWidth="1"/>
    <col min="32" max="32" width="32.42578125" customWidth="1"/>
    <col min="33" max="33" width="18.7109375" style="55" customWidth="1"/>
    <col min="34" max="34" width="35.28515625" style="8" customWidth="1"/>
    <col min="35" max="35" width="64.42578125" customWidth="1"/>
    <col min="36" max="36" width="21.7109375" style="31" customWidth="1"/>
    <col min="37" max="37" width="15.85546875" style="31" customWidth="1"/>
    <col min="38" max="38" width="38.5703125" customWidth="1"/>
    <col min="39" max="39" width="28.5703125" style="23" customWidth="1"/>
    <col min="40" max="40" width="25.5703125" customWidth="1"/>
    <col min="41" max="41" width="29.42578125" customWidth="1"/>
    <col min="42" max="42" width="27.42578125" style="58" customWidth="1"/>
    <col min="43" max="43" width="29.7109375" style="58" customWidth="1"/>
  </cols>
  <sheetData>
    <row r="1" spans="3:59" ht="54" customHeight="1">
      <c r="AI1" s="25"/>
    </row>
    <row r="3" spans="3:59" ht="18.75" customHeight="1"/>
    <row r="4" spans="3:59" ht="23.25">
      <c r="L4" s="191" t="s">
        <v>34</v>
      </c>
      <c r="M4" s="192"/>
      <c r="N4" s="192"/>
      <c r="O4" s="192"/>
      <c r="P4" s="192"/>
      <c r="Q4" s="192"/>
      <c r="R4" s="192"/>
      <c r="S4" s="192"/>
      <c r="T4" s="192"/>
      <c r="U4" s="193"/>
      <c r="V4" s="183" t="s">
        <v>35</v>
      </c>
      <c r="W4" s="184"/>
      <c r="X4" s="185"/>
      <c r="Y4" s="185"/>
      <c r="Z4" s="185"/>
      <c r="AA4" s="185"/>
      <c r="AB4" s="186"/>
      <c r="AC4" s="186"/>
      <c r="AD4" s="185"/>
      <c r="AE4" s="187" t="s">
        <v>36</v>
      </c>
      <c r="AF4" s="188"/>
      <c r="AG4" s="188"/>
      <c r="AH4" s="188"/>
      <c r="AI4" s="188"/>
      <c r="AJ4" s="189"/>
      <c r="AK4" s="189"/>
      <c r="AL4" s="188"/>
      <c r="AM4" s="188"/>
      <c r="AN4" s="188"/>
      <c r="AO4" s="188"/>
      <c r="AP4" s="188"/>
      <c r="AQ4" s="190"/>
      <c r="AR4" s="21"/>
      <c r="AS4" s="21"/>
      <c r="AT4" s="21"/>
      <c r="AU4" s="22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</row>
    <row r="5" spans="3:59" s="32" customFormat="1" ht="87.75" customHeight="1">
      <c r="C5" s="105" t="s">
        <v>37</v>
      </c>
      <c r="D5" s="105" t="s">
        <v>38</v>
      </c>
      <c r="E5" s="106" t="s">
        <v>39</v>
      </c>
      <c r="F5" s="107" t="s">
        <v>40</v>
      </c>
      <c r="G5" s="108" t="s">
        <v>41</v>
      </c>
      <c r="H5" s="108" t="s">
        <v>42</v>
      </c>
      <c r="I5" s="6" t="s">
        <v>43</v>
      </c>
      <c r="J5" s="6" t="s">
        <v>44</v>
      </c>
      <c r="K5" s="6" t="s">
        <v>45</v>
      </c>
      <c r="L5" s="109" t="s">
        <v>46</v>
      </c>
      <c r="M5" s="36" t="s">
        <v>47</v>
      </c>
      <c r="N5" s="109" t="s">
        <v>48</v>
      </c>
      <c r="O5" s="36" t="s">
        <v>49</v>
      </c>
      <c r="P5" s="109" t="s">
        <v>50</v>
      </c>
      <c r="Q5" s="36" t="s">
        <v>51</v>
      </c>
      <c r="R5" s="109" t="s">
        <v>52</v>
      </c>
      <c r="S5" s="36" t="s">
        <v>53</v>
      </c>
      <c r="T5" s="109" t="s">
        <v>54</v>
      </c>
      <c r="U5" s="36" t="s">
        <v>55</v>
      </c>
      <c r="V5" s="110" t="s">
        <v>56</v>
      </c>
      <c r="W5" s="110" t="s">
        <v>57</v>
      </c>
      <c r="X5" s="111" t="s">
        <v>58</v>
      </c>
      <c r="Y5" s="111" t="s">
        <v>59</v>
      </c>
      <c r="Z5" s="111" t="s">
        <v>60</v>
      </c>
      <c r="AA5" s="112" t="s">
        <v>61</v>
      </c>
      <c r="AB5" s="113" t="s">
        <v>62</v>
      </c>
      <c r="AC5" s="114" t="s">
        <v>63</v>
      </c>
      <c r="AD5" s="115" t="s">
        <v>64</v>
      </c>
      <c r="AE5" s="116" t="s">
        <v>65</v>
      </c>
      <c r="AF5" s="117" t="s">
        <v>66</v>
      </c>
      <c r="AG5" s="103" t="s">
        <v>67</v>
      </c>
      <c r="AH5" s="104" t="s">
        <v>68</v>
      </c>
      <c r="AI5" s="104" t="s">
        <v>69</v>
      </c>
      <c r="AJ5" s="103" t="s">
        <v>70</v>
      </c>
      <c r="AK5" s="103" t="s">
        <v>71</v>
      </c>
      <c r="AL5" s="104" t="s">
        <v>72</v>
      </c>
      <c r="AM5" s="104" t="s">
        <v>73</v>
      </c>
      <c r="AN5" s="104" t="s">
        <v>74</v>
      </c>
      <c r="AO5" s="104" t="s">
        <v>75</v>
      </c>
      <c r="AP5" s="118" t="s">
        <v>76</v>
      </c>
      <c r="AQ5" s="119" t="s">
        <v>77</v>
      </c>
      <c r="AR5" s="33"/>
      <c r="AS5" s="33"/>
      <c r="AT5" s="33"/>
      <c r="AU5" s="34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</row>
    <row r="6" spans="3:59" ht="36" customHeight="1">
      <c r="C6" s="56"/>
      <c r="D6" s="56"/>
      <c r="E6" s="44" t="s">
        <v>78</v>
      </c>
      <c r="F6" s="45" t="s">
        <v>79</v>
      </c>
      <c r="G6" s="46" t="s">
        <v>80</v>
      </c>
      <c r="H6" s="46" t="s">
        <v>81</v>
      </c>
      <c r="I6" s="12" t="s">
        <v>9</v>
      </c>
      <c r="J6" s="12" t="s">
        <v>9</v>
      </c>
      <c r="K6" s="12" t="s">
        <v>9</v>
      </c>
      <c r="L6" s="12" t="s">
        <v>9</v>
      </c>
      <c r="M6" s="12" t="s">
        <v>9</v>
      </c>
      <c r="N6" s="12" t="s">
        <v>9</v>
      </c>
      <c r="O6" s="12" t="s">
        <v>9</v>
      </c>
      <c r="P6" s="12" t="s">
        <v>9</v>
      </c>
      <c r="Q6" s="12" t="s">
        <v>9</v>
      </c>
      <c r="R6" s="12" t="s">
        <v>9</v>
      </c>
      <c r="S6" s="12" t="s">
        <v>9</v>
      </c>
      <c r="T6" s="12" t="s">
        <v>9</v>
      </c>
      <c r="U6" s="12" t="s">
        <v>9</v>
      </c>
      <c r="V6" s="12" t="s">
        <v>9</v>
      </c>
      <c r="W6" s="12" t="s">
        <v>9</v>
      </c>
      <c r="X6" s="12" t="s">
        <v>9</v>
      </c>
      <c r="Y6" s="12" t="s">
        <v>9</v>
      </c>
      <c r="Z6" s="12" t="s">
        <v>9</v>
      </c>
      <c r="AA6" s="12" t="s">
        <v>9</v>
      </c>
      <c r="AB6" s="12" t="s">
        <v>9</v>
      </c>
      <c r="AC6" s="12" t="s">
        <v>9</v>
      </c>
      <c r="AD6" s="12" t="s">
        <v>9</v>
      </c>
      <c r="AE6" s="57" t="s">
        <v>9</v>
      </c>
      <c r="AF6" s="12" t="s">
        <v>9</v>
      </c>
      <c r="AG6" s="53" t="s">
        <v>9</v>
      </c>
      <c r="AH6" s="12" t="s">
        <v>9</v>
      </c>
      <c r="AI6" s="12" t="s">
        <v>9</v>
      </c>
      <c r="AJ6" s="12" t="s">
        <v>9</v>
      </c>
      <c r="AK6" s="12" t="s">
        <v>9</v>
      </c>
      <c r="AL6" s="12" t="s">
        <v>9</v>
      </c>
      <c r="AM6" s="12" t="s">
        <v>9</v>
      </c>
      <c r="AN6" s="12" t="s">
        <v>9</v>
      </c>
      <c r="AO6" s="12" t="s">
        <v>9</v>
      </c>
      <c r="AP6" s="57" t="s">
        <v>82</v>
      </c>
      <c r="AQ6" s="57"/>
      <c r="AR6" s="21"/>
      <c r="AS6" s="21"/>
      <c r="AT6" s="21"/>
      <c r="AU6" s="22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</row>
    <row r="7" spans="3:59" ht="17.25">
      <c r="C7" s="73"/>
      <c r="D7" s="73"/>
      <c r="E7" s="74" t="s">
        <v>83</v>
      </c>
      <c r="F7" s="75" t="s">
        <v>84</v>
      </c>
      <c r="G7" s="120" t="s">
        <v>80</v>
      </c>
      <c r="H7" s="76" t="s">
        <v>85</v>
      </c>
      <c r="I7" s="48" t="s">
        <v>86</v>
      </c>
      <c r="J7" s="48"/>
      <c r="K7" s="48"/>
      <c r="L7" s="196" t="s">
        <v>87</v>
      </c>
      <c r="M7" s="9"/>
      <c r="N7" s="197" t="s">
        <v>88</v>
      </c>
      <c r="O7" s="9"/>
      <c r="P7" s="198" t="s">
        <v>89</v>
      </c>
      <c r="Q7" s="10"/>
      <c r="R7" s="198" t="s">
        <v>90</v>
      </c>
      <c r="S7" s="5"/>
      <c r="T7" s="199" t="s">
        <v>91</v>
      </c>
      <c r="U7" s="5"/>
      <c r="V7" s="200" t="s">
        <v>5</v>
      </c>
      <c r="W7" s="201" t="s">
        <v>5</v>
      </c>
      <c r="X7" s="200" t="s">
        <v>5</v>
      </c>
      <c r="Y7" s="200" t="s">
        <v>5</v>
      </c>
      <c r="Z7" s="200" t="s">
        <v>7</v>
      </c>
      <c r="AA7" s="200" t="s">
        <v>5</v>
      </c>
      <c r="AB7" s="200" t="s">
        <v>5</v>
      </c>
      <c r="AC7" s="200" t="s">
        <v>5</v>
      </c>
      <c r="AD7" s="197" t="s">
        <v>5</v>
      </c>
      <c r="AE7" s="202"/>
      <c r="AF7" s="203"/>
      <c r="AG7" s="204"/>
      <c r="AH7" s="78"/>
      <c r="AI7" s="79"/>
      <c r="AJ7" s="79"/>
      <c r="AK7" s="80">
        <f>(AJ7)+20</f>
        <v>20</v>
      </c>
      <c r="AL7" s="81"/>
      <c r="AM7" s="82"/>
      <c r="AN7" s="81"/>
      <c r="AO7" s="81"/>
      <c r="AP7" s="83"/>
      <c r="AQ7" s="84"/>
      <c r="AR7" s="21"/>
      <c r="AS7" s="21"/>
      <c r="AT7" s="21"/>
      <c r="AU7" s="22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</row>
    <row r="8" spans="3:59" ht="17.25">
      <c r="C8" s="73"/>
      <c r="D8" s="73"/>
      <c r="E8" s="74" t="s">
        <v>83</v>
      </c>
      <c r="F8" s="75" t="s">
        <v>84</v>
      </c>
      <c r="G8" s="76" t="s">
        <v>92</v>
      </c>
      <c r="H8" s="76" t="s">
        <v>93</v>
      </c>
      <c r="I8" s="48" t="s">
        <v>86</v>
      </c>
      <c r="J8" s="48"/>
      <c r="K8" s="48"/>
      <c r="L8" s="196" t="s">
        <v>94</v>
      </c>
      <c r="M8" s="9"/>
      <c r="N8" s="197" t="s">
        <v>88</v>
      </c>
      <c r="O8" s="9"/>
      <c r="P8" s="205" t="s">
        <v>90</v>
      </c>
      <c r="Q8" s="12"/>
      <c r="R8" s="203" t="s">
        <v>95</v>
      </c>
      <c r="S8" s="5"/>
      <c r="T8" s="199" t="s">
        <v>91</v>
      </c>
      <c r="U8" s="5"/>
      <c r="V8" s="200" t="s">
        <v>7</v>
      </c>
      <c r="W8" s="206" t="s">
        <v>5</v>
      </c>
      <c r="X8" s="200" t="s">
        <v>5</v>
      </c>
      <c r="Y8" s="200" t="s">
        <v>5</v>
      </c>
      <c r="Z8" s="200" t="s">
        <v>7</v>
      </c>
      <c r="AA8" s="200" t="s">
        <v>5</v>
      </c>
      <c r="AB8" s="200" t="s">
        <v>5</v>
      </c>
      <c r="AC8" s="200" t="s">
        <v>5</v>
      </c>
      <c r="AD8" s="197" t="s">
        <v>5</v>
      </c>
      <c r="AE8" s="202"/>
      <c r="AF8" s="203"/>
      <c r="AG8" s="204"/>
      <c r="AH8" s="78"/>
      <c r="AI8" s="79"/>
      <c r="AJ8" s="80"/>
      <c r="AK8" s="80">
        <f>(AJ8)+20</f>
        <v>20</v>
      </c>
      <c r="AL8" s="81"/>
      <c r="AM8" s="82"/>
      <c r="AN8" s="81"/>
      <c r="AO8" s="81"/>
      <c r="AP8" s="83"/>
      <c r="AQ8" s="84"/>
      <c r="AR8" s="21"/>
      <c r="AS8" s="21"/>
      <c r="AT8" s="21"/>
      <c r="AU8" s="22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</row>
    <row r="9" spans="3:59">
      <c r="C9" s="73"/>
      <c r="D9" s="73"/>
      <c r="E9" s="74" t="s">
        <v>78</v>
      </c>
      <c r="F9" s="75" t="s">
        <v>79</v>
      </c>
      <c r="G9" s="76" t="s">
        <v>96</v>
      </c>
      <c r="H9" s="76" t="s">
        <v>32</v>
      </c>
      <c r="I9" s="47"/>
      <c r="J9" s="47"/>
      <c r="K9" s="47"/>
      <c r="L9" s="196" t="s">
        <v>97</v>
      </c>
      <c r="M9" s="35"/>
      <c r="N9" s="207" t="s">
        <v>97</v>
      </c>
      <c r="O9" s="11"/>
      <c r="P9" s="205" t="s">
        <v>97</v>
      </c>
      <c r="Q9" s="12"/>
      <c r="R9" s="205" t="s">
        <v>97</v>
      </c>
      <c r="S9" s="7"/>
      <c r="T9" s="205" t="s">
        <v>97</v>
      </c>
      <c r="U9" s="7" t="s">
        <v>98</v>
      </c>
      <c r="V9" s="200" t="s">
        <v>7</v>
      </c>
      <c r="W9" s="206" t="s">
        <v>7</v>
      </c>
      <c r="X9" s="200" t="s">
        <v>7</v>
      </c>
      <c r="Y9" s="200" t="s">
        <v>7</v>
      </c>
      <c r="Z9" s="200" t="s">
        <v>7</v>
      </c>
      <c r="AA9" s="200" t="s">
        <v>5</v>
      </c>
      <c r="AB9" s="200" t="s">
        <v>5</v>
      </c>
      <c r="AC9" s="200" t="s">
        <v>5</v>
      </c>
      <c r="AD9" s="197" t="s">
        <v>5</v>
      </c>
      <c r="AE9" s="202"/>
      <c r="AF9" s="203"/>
      <c r="AG9" s="204"/>
      <c r="AH9" s="85"/>
      <c r="AI9" s="86"/>
      <c r="AJ9" s="87"/>
      <c r="AK9" s="80">
        <f>(AJ9)+20</f>
        <v>20</v>
      </c>
      <c r="AL9" s="81"/>
      <c r="AM9" s="82"/>
      <c r="AN9" s="81"/>
      <c r="AO9" s="81"/>
      <c r="AP9" s="83"/>
      <c r="AQ9" s="84"/>
      <c r="AR9" s="21"/>
      <c r="AS9" s="21"/>
      <c r="AT9" s="21"/>
      <c r="AU9" s="22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</row>
    <row r="10" spans="3:59">
      <c r="C10" s="73"/>
      <c r="D10" s="73"/>
      <c r="E10" s="74" t="s">
        <v>78</v>
      </c>
      <c r="F10" s="75" t="s">
        <v>79</v>
      </c>
      <c r="G10" s="76" t="s">
        <v>99</v>
      </c>
      <c r="H10" s="76" t="s">
        <v>20</v>
      </c>
      <c r="I10" s="47"/>
      <c r="J10" s="47"/>
      <c r="K10" s="47"/>
      <c r="L10" s="196" t="s">
        <v>97</v>
      </c>
      <c r="M10" s="35"/>
      <c r="N10" s="207" t="s">
        <v>90</v>
      </c>
      <c r="O10" s="11"/>
      <c r="P10" s="205" t="s">
        <v>100</v>
      </c>
      <c r="Q10" s="12"/>
      <c r="R10" s="205" t="s">
        <v>97</v>
      </c>
      <c r="S10" s="7"/>
      <c r="T10" s="205" t="s">
        <v>97</v>
      </c>
      <c r="U10" s="7"/>
      <c r="V10" s="200" t="s">
        <v>7</v>
      </c>
      <c r="W10" s="206" t="s">
        <v>7</v>
      </c>
      <c r="X10" s="200" t="s">
        <v>5</v>
      </c>
      <c r="Y10" s="200" t="s">
        <v>7</v>
      </c>
      <c r="Z10" s="200" t="s">
        <v>7</v>
      </c>
      <c r="AA10" s="200" t="s">
        <v>5</v>
      </c>
      <c r="AB10" s="200" t="s">
        <v>5</v>
      </c>
      <c r="AC10" s="200" t="s">
        <v>5</v>
      </c>
      <c r="AD10" s="197" t="s">
        <v>5</v>
      </c>
      <c r="AE10" s="202"/>
      <c r="AF10" s="203"/>
      <c r="AG10" s="204"/>
      <c r="AH10" s="85"/>
      <c r="AI10" s="86"/>
      <c r="AJ10" s="87"/>
      <c r="AK10" s="80">
        <f>(AJ10)+20</f>
        <v>20</v>
      </c>
      <c r="AL10" s="81"/>
      <c r="AM10" s="82"/>
      <c r="AN10" s="81"/>
      <c r="AO10" s="81"/>
      <c r="AP10" s="83"/>
      <c r="AQ10" s="84"/>
      <c r="AR10" s="21"/>
      <c r="AS10" s="21"/>
      <c r="AT10" s="21"/>
      <c r="AU10" s="22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</row>
    <row r="11" spans="3:59">
      <c r="C11" s="73"/>
      <c r="D11" s="73"/>
      <c r="E11" s="74" t="s">
        <v>101</v>
      </c>
      <c r="F11" s="75" t="s">
        <v>102</v>
      </c>
      <c r="G11" s="76" t="s">
        <v>99</v>
      </c>
      <c r="H11" s="76" t="s">
        <v>103</v>
      </c>
      <c r="I11" s="47"/>
      <c r="J11" s="47"/>
      <c r="K11" s="47"/>
      <c r="L11" s="196" t="s">
        <v>97</v>
      </c>
      <c r="M11" s="35"/>
      <c r="N11" s="207" t="s">
        <v>90</v>
      </c>
      <c r="O11" s="11"/>
      <c r="P11" s="205" t="s">
        <v>100</v>
      </c>
      <c r="Q11" s="12"/>
      <c r="R11" s="205" t="s">
        <v>97</v>
      </c>
      <c r="S11" s="7"/>
      <c r="T11" s="205" t="s">
        <v>97</v>
      </c>
      <c r="U11" s="49"/>
      <c r="V11" s="200" t="s">
        <v>7</v>
      </c>
      <c r="W11" s="206" t="s">
        <v>7</v>
      </c>
      <c r="X11" s="200" t="s">
        <v>5</v>
      </c>
      <c r="Y11" s="200" t="s">
        <v>7</v>
      </c>
      <c r="Z11" s="200" t="s">
        <v>7</v>
      </c>
      <c r="AA11" s="200" t="s">
        <v>5</v>
      </c>
      <c r="AB11" s="200" t="s">
        <v>5</v>
      </c>
      <c r="AC11" s="200" t="s">
        <v>5</v>
      </c>
      <c r="AD11" s="197" t="s">
        <v>5</v>
      </c>
      <c r="AE11" s="202"/>
      <c r="AF11" s="203"/>
      <c r="AG11" s="204"/>
      <c r="AH11" s="85"/>
      <c r="AI11" s="86"/>
      <c r="AJ11" s="87"/>
      <c r="AK11" s="80">
        <f>(AJ11)+20</f>
        <v>20</v>
      </c>
      <c r="AL11" s="81"/>
      <c r="AM11" s="82"/>
      <c r="AN11" s="81"/>
      <c r="AO11" s="81"/>
      <c r="AP11" s="83"/>
      <c r="AQ11" s="84"/>
      <c r="AR11" s="21"/>
      <c r="AS11" s="21"/>
      <c r="AT11" s="21"/>
      <c r="AU11" s="22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</row>
    <row r="12" spans="3:59" ht="17.25">
      <c r="C12" s="73"/>
      <c r="D12" s="73"/>
      <c r="E12" s="74" t="s">
        <v>78</v>
      </c>
      <c r="F12" s="75" t="s">
        <v>79</v>
      </c>
      <c r="G12" s="76" t="s">
        <v>104</v>
      </c>
      <c r="H12" s="76" t="s">
        <v>15</v>
      </c>
      <c r="I12" s="48"/>
      <c r="J12" s="48"/>
      <c r="K12" s="48"/>
      <c r="L12" s="196" t="s">
        <v>97</v>
      </c>
      <c r="M12" s="11"/>
      <c r="N12" s="205" t="s">
        <v>105</v>
      </c>
      <c r="O12" s="12"/>
      <c r="P12" s="205" t="s">
        <v>100</v>
      </c>
      <c r="Q12" s="12"/>
      <c r="R12" s="205" t="s">
        <v>97</v>
      </c>
      <c r="S12" s="7"/>
      <c r="T12" s="205" t="s">
        <v>106</v>
      </c>
      <c r="U12" s="7"/>
      <c r="V12" s="200" t="s">
        <v>9</v>
      </c>
      <c r="W12" s="200" t="s">
        <v>9</v>
      </c>
      <c r="X12" s="200" t="s">
        <v>9</v>
      </c>
      <c r="Y12" s="200" t="s">
        <v>9</v>
      </c>
      <c r="Z12" s="12" t="s">
        <v>9</v>
      </c>
      <c r="AA12" s="200" t="s">
        <v>9</v>
      </c>
      <c r="AB12" s="200" t="s">
        <v>9</v>
      </c>
      <c r="AC12" s="200" t="s">
        <v>9</v>
      </c>
      <c r="AD12" s="200" t="s">
        <v>9</v>
      </c>
      <c r="AE12" s="200" t="s">
        <v>9</v>
      </c>
      <c r="AF12" s="200" t="s">
        <v>9</v>
      </c>
      <c r="AG12" s="200" t="s">
        <v>9</v>
      </c>
      <c r="AH12" s="200" t="s">
        <v>9</v>
      </c>
      <c r="AI12" s="200" t="s">
        <v>9</v>
      </c>
      <c r="AJ12" s="200" t="s">
        <v>9</v>
      </c>
      <c r="AK12" s="200" t="s">
        <v>9</v>
      </c>
      <c r="AL12" s="200" t="s">
        <v>9</v>
      </c>
      <c r="AM12" s="200" t="s">
        <v>9</v>
      </c>
      <c r="AN12" s="200" t="s">
        <v>9</v>
      </c>
      <c r="AO12" s="200" t="s">
        <v>9</v>
      </c>
      <c r="AP12" s="83"/>
      <c r="AQ12" s="84"/>
      <c r="AR12" s="21"/>
      <c r="AS12" s="21"/>
      <c r="AT12" s="21"/>
      <c r="AU12" s="22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</row>
    <row r="13" spans="3:59" ht="17.25">
      <c r="C13" s="73"/>
      <c r="D13" s="73"/>
      <c r="E13" s="74" t="s">
        <v>83</v>
      </c>
      <c r="F13" s="75" t="s">
        <v>84</v>
      </c>
      <c r="G13" s="76" t="s">
        <v>104</v>
      </c>
      <c r="H13" s="76" t="s">
        <v>107</v>
      </c>
      <c r="I13" s="48" t="s">
        <v>86</v>
      </c>
      <c r="J13" s="48"/>
      <c r="K13" s="48"/>
      <c r="L13" s="196" t="s">
        <v>108</v>
      </c>
      <c r="M13" s="9"/>
      <c r="N13" s="197" t="s">
        <v>88</v>
      </c>
      <c r="O13" s="9"/>
      <c r="P13" s="205" t="s">
        <v>89</v>
      </c>
      <c r="Q13" s="12"/>
      <c r="R13" s="205" t="s">
        <v>97</v>
      </c>
      <c r="S13" s="5"/>
      <c r="T13" s="199" t="s">
        <v>109</v>
      </c>
      <c r="U13" s="5"/>
      <c r="V13" s="200" t="s">
        <v>5</v>
      </c>
      <c r="W13" s="206" t="s">
        <v>5</v>
      </c>
      <c r="X13" s="200" t="s">
        <v>5</v>
      </c>
      <c r="Y13" s="200" t="s">
        <v>5</v>
      </c>
      <c r="Z13" s="200" t="s">
        <v>7</v>
      </c>
      <c r="AA13" s="200" t="s">
        <v>5</v>
      </c>
      <c r="AB13" s="200" t="s">
        <v>5</v>
      </c>
      <c r="AC13" s="200" t="s">
        <v>5</v>
      </c>
      <c r="AD13" s="197" t="s">
        <v>5</v>
      </c>
      <c r="AE13" s="202"/>
      <c r="AF13" s="203"/>
      <c r="AG13" s="204"/>
      <c r="AH13" s="85"/>
      <c r="AI13" s="86"/>
      <c r="AJ13" s="87"/>
      <c r="AK13" s="80">
        <f>(AJ13)+20</f>
        <v>20</v>
      </c>
      <c r="AL13" s="81"/>
      <c r="AM13" s="82"/>
      <c r="AN13" s="81"/>
      <c r="AO13" s="81"/>
      <c r="AP13" s="83"/>
      <c r="AQ13" s="84"/>
      <c r="AR13" s="21"/>
      <c r="AS13" s="21"/>
      <c r="AT13" s="21"/>
      <c r="AU13" s="22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</row>
    <row r="14" spans="3:59" ht="17.25">
      <c r="C14" s="73"/>
      <c r="D14" s="73"/>
      <c r="E14" s="74" t="s">
        <v>83</v>
      </c>
      <c r="F14" s="75" t="s">
        <v>84</v>
      </c>
      <c r="G14" s="76" t="s">
        <v>110</v>
      </c>
      <c r="H14" s="76" t="s">
        <v>13</v>
      </c>
      <c r="I14" s="48" t="s">
        <v>111</v>
      </c>
      <c r="J14" s="48"/>
      <c r="K14" s="48"/>
      <c r="L14" s="196" t="s">
        <v>9</v>
      </c>
      <c r="M14" s="9"/>
      <c r="N14" s="197" t="s">
        <v>88</v>
      </c>
      <c r="O14" s="9"/>
      <c r="P14" s="205" t="s">
        <v>88</v>
      </c>
      <c r="Q14" s="12"/>
      <c r="R14" s="205" t="s">
        <v>97</v>
      </c>
      <c r="S14" s="5"/>
      <c r="T14" s="199" t="s">
        <v>91</v>
      </c>
      <c r="U14" s="5"/>
      <c r="V14" s="200" t="s">
        <v>7</v>
      </c>
      <c r="W14" s="206" t="s">
        <v>7</v>
      </c>
      <c r="X14" s="200" t="s">
        <v>7</v>
      </c>
      <c r="Y14" s="200" t="s">
        <v>7</v>
      </c>
      <c r="Z14" s="200" t="s">
        <v>7</v>
      </c>
      <c r="AA14" s="200" t="s">
        <v>5</v>
      </c>
      <c r="AB14" s="200" t="s">
        <v>5</v>
      </c>
      <c r="AC14" s="200" t="s">
        <v>5</v>
      </c>
      <c r="AD14" s="197" t="s">
        <v>5</v>
      </c>
      <c r="AE14" s="202"/>
      <c r="AF14" s="203"/>
      <c r="AG14" s="204"/>
      <c r="AH14" s="85"/>
      <c r="AI14" s="86"/>
      <c r="AJ14" s="87"/>
      <c r="AK14" s="80">
        <f>(AJ14)+20</f>
        <v>20</v>
      </c>
      <c r="AL14" s="81"/>
      <c r="AM14" s="82"/>
      <c r="AN14" s="81"/>
      <c r="AO14" s="81"/>
      <c r="AP14" s="83"/>
      <c r="AQ14" s="84"/>
      <c r="AR14" s="21"/>
      <c r="AS14" s="21"/>
      <c r="AT14" s="21"/>
      <c r="AU14" s="22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</row>
    <row r="15" spans="3:59">
      <c r="C15" s="73"/>
      <c r="D15" s="73"/>
      <c r="E15" s="74" t="s">
        <v>101</v>
      </c>
      <c r="F15" s="75" t="s">
        <v>102</v>
      </c>
      <c r="G15" s="77" t="s">
        <v>112</v>
      </c>
      <c r="H15" s="76" t="s">
        <v>113</v>
      </c>
      <c r="I15" s="47"/>
      <c r="J15" s="47"/>
      <c r="K15" s="47"/>
      <c r="L15" s="196" t="s">
        <v>97</v>
      </c>
      <c r="M15" s="35"/>
      <c r="N15" s="207" t="s">
        <v>90</v>
      </c>
      <c r="O15" s="11"/>
      <c r="P15" s="205" t="s">
        <v>97</v>
      </c>
      <c r="Q15" s="12"/>
      <c r="R15" s="208" t="s">
        <v>87</v>
      </c>
      <c r="S15" s="37"/>
      <c r="T15" s="205" t="s">
        <v>109</v>
      </c>
      <c r="U15" s="7"/>
      <c r="V15" s="200" t="s">
        <v>7</v>
      </c>
      <c r="W15" s="206" t="s">
        <v>7</v>
      </c>
      <c r="X15" s="200" t="s">
        <v>5</v>
      </c>
      <c r="Y15" s="200" t="s">
        <v>7</v>
      </c>
      <c r="Z15" s="200" t="s">
        <v>7</v>
      </c>
      <c r="AA15" s="200" t="s">
        <v>5</v>
      </c>
      <c r="AB15" s="200" t="s">
        <v>5</v>
      </c>
      <c r="AC15" s="200" t="s">
        <v>5</v>
      </c>
      <c r="AD15" s="197" t="s">
        <v>5</v>
      </c>
      <c r="AE15" s="202"/>
      <c r="AF15" s="203"/>
      <c r="AG15" s="204"/>
      <c r="AH15" s="85"/>
      <c r="AI15" s="86"/>
      <c r="AJ15" s="87"/>
      <c r="AK15" s="80">
        <f>(AJ15)+20</f>
        <v>20</v>
      </c>
      <c r="AL15" s="81"/>
      <c r="AM15" s="82"/>
      <c r="AN15" s="81"/>
      <c r="AO15" s="81"/>
      <c r="AP15" s="83"/>
      <c r="AQ15" s="84"/>
      <c r="AR15" s="21"/>
      <c r="AS15" s="21"/>
      <c r="AT15" s="21"/>
      <c r="AU15" s="22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</row>
    <row r="16" spans="3:59" ht="17.25">
      <c r="C16" s="56"/>
      <c r="D16" s="56"/>
      <c r="E16" s="44" t="s">
        <v>83</v>
      </c>
      <c r="F16" s="45" t="s">
        <v>84</v>
      </c>
      <c r="G16" s="46" t="s">
        <v>114</v>
      </c>
      <c r="H16" s="46" t="s">
        <v>115</v>
      </c>
      <c r="I16" s="13" t="s">
        <v>9</v>
      </c>
      <c r="J16" s="13" t="s">
        <v>9</v>
      </c>
      <c r="K16" s="13" t="s">
        <v>9</v>
      </c>
      <c r="L16" s="13" t="s">
        <v>9</v>
      </c>
      <c r="M16" s="13" t="s">
        <v>9</v>
      </c>
      <c r="N16" s="13" t="s">
        <v>9</v>
      </c>
      <c r="O16" s="13" t="s">
        <v>9</v>
      </c>
      <c r="P16" s="13" t="s">
        <v>9</v>
      </c>
      <c r="Q16" s="13" t="s">
        <v>9</v>
      </c>
      <c r="R16" s="13" t="s">
        <v>9</v>
      </c>
      <c r="S16" s="13" t="s">
        <v>9</v>
      </c>
      <c r="T16" s="13" t="s">
        <v>9</v>
      </c>
      <c r="U16" s="13" t="s">
        <v>9</v>
      </c>
      <c r="V16" s="13" t="s">
        <v>9</v>
      </c>
      <c r="W16" s="13" t="s">
        <v>9</v>
      </c>
      <c r="X16" s="13" t="s">
        <v>9</v>
      </c>
      <c r="Y16" s="13" t="s">
        <v>9</v>
      </c>
      <c r="Z16" s="12" t="s">
        <v>9</v>
      </c>
      <c r="AA16" s="13" t="s">
        <v>9</v>
      </c>
      <c r="AB16" s="13" t="s">
        <v>9</v>
      </c>
      <c r="AC16" s="13" t="s">
        <v>9</v>
      </c>
      <c r="AD16" s="13" t="s">
        <v>9</v>
      </c>
      <c r="AE16" s="69" t="s">
        <v>9</v>
      </c>
      <c r="AF16" s="13" t="s">
        <v>9</v>
      </c>
      <c r="AG16" s="54" t="s">
        <v>9</v>
      </c>
      <c r="AH16" s="13" t="s">
        <v>9</v>
      </c>
      <c r="AI16" s="13" t="s">
        <v>9</v>
      </c>
      <c r="AJ16" s="13" t="s">
        <v>9</v>
      </c>
      <c r="AK16" s="13" t="s">
        <v>9</v>
      </c>
      <c r="AL16" s="13" t="s">
        <v>9</v>
      </c>
      <c r="AM16" s="13" t="s">
        <v>9</v>
      </c>
      <c r="AN16" s="13" t="s">
        <v>9</v>
      </c>
      <c r="AO16" s="13" t="s">
        <v>9</v>
      </c>
      <c r="AP16" s="59">
        <v>46139</v>
      </c>
      <c r="AQ16" s="60" t="s">
        <v>116</v>
      </c>
      <c r="AR16" s="21"/>
      <c r="AS16" s="21"/>
      <c r="AT16" s="21"/>
      <c r="AU16" s="22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</row>
    <row r="17" spans="3:59" ht="17.25">
      <c r="C17" s="73"/>
      <c r="D17" s="73"/>
      <c r="E17" s="74" t="s">
        <v>101</v>
      </c>
      <c r="F17" s="75" t="s">
        <v>102</v>
      </c>
      <c r="G17" s="76" t="s">
        <v>117</v>
      </c>
      <c r="H17" s="76" t="s">
        <v>118</v>
      </c>
      <c r="I17" s="48"/>
      <c r="J17" s="48"/>
      <c r="K17" s="48"/>
      <c r="L17" s="196" t="s">
        <v>106</v>
      </c>
      <c r="M17" s="35"/>
      <c r="N17" s="207" t="s">
        <v>105</v>
      </c>
      <c r="O17" s="11"/>
      <c r="P17" s="205" t="s">
        <v>89</v>
      </c>
      <c r="Q17" s="12"/>
      <c r="R17" s="205" t="s">
        <v>87</v>
      </c>
      <c r="S17" s="7"/>
      <c r="T17" s="205" t="s">
        <v>119</v>
      </c>
      <c r="U17" s="7"/>
      <c r="V17" s="200" t="s">
        <v>5</v>
      </c>
      <c r="W17" s="201" t="s">
        <v>5</v>
      </c>
      <c r="X17" s="200" t="s">
        <v>5</v>
      </c>
      <c r="Y17" s="200" t="s">
        <v>5</v>
      </c>
      <c r="Z17" s="200" t="s">
        <v>5</v>
      </c>
      <c r="AA17" s="200" t="s">
        <v>5</v>
      </c>
      <c r="AB17" s="200" t="s">
        <v>5</v>
      </c>
      <c r="AC17" s="200" t="s">
        <v>5</v>
      </c>
      <c r="AD17" s="197" t="s">
        <v>5</v>
      </c>
      <c r="AE17" s="202"/>
      <c r="AF17" s="203"/>
      <c r="AG17" s="204"/>
      <c r="AH17" s="85"/>
      <c r="AI17" s="86"/>
      <c r="AJ17" s="86"/>
      <c r="AK17" s="86"/>
      <c r="AL17" s="81"/>
      <c r="AM17" s="82"/>
      <c r="AN17" s="81"/>
      <c r="AO17" s="81"/>
      <c r="AP17" s="83"/>
      <c r="AQ17" s="84"/>
      <c r="AR17" s="21"/>
      <c r="AS17" s="21"/>
      <c r="AT17" s="21"/>
      <c r="AU17" s="22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</row>
    <row r="18" spans="3:59" ht="17.25">
      <c r="C18" s="56"/>
      <c r="D18" s="56"/>
      <c r="E18" s="44" t="s">
        <v>78</v>
      </c>
      <c r="F18" s="45" t="s">
        <v>79</v>
      </c>
      <c r="G18" s="46" t="s">
        <v>120</v>
      </c>
      <c r="H18" s="46" t="s">
        <v>121</v>
      </c>
      <c r="I18" s="12" t="s">
        <v>9</v>
      </c>
      <c r="J18" s="12" t="s">
        <v>9</v>
      </c>
      <c r="K18" s="12" t="s">
        <v>9</v>
      </c>
      <c r="L18" s="12" t="s">
        <v>9</v>
      </c>
      <c r="M18" s="12" t="s">
        <v>9</v>
      </c>
      <c r="N18" s="12" t="s">
        <v>9</v>
      </c>
      <c r="O18" s="12" t="s">
        <v>9</v>
      </c>
      <c r="P18" s="12" t="s">
        <v>9</v>
      </c>
      <c r="Q18" s="12" t="s">
        <v>9</v>
      </c>
      <c r="R18" s="12" t="s">
        <v>9</v>
      </c>
      <c r="S18" s="12" t="s">
        <v>9</v>
      </c>
      <c r="T18" s="12" t="s">
        <v>9</v>
      </c>
      <c r="U18" s="12" t="s">
        <v>9</v>
      </c>
      <c r="V18" s="12" t="s">
        <v>9</v>
      </c>
      <c r="W18" s="12" t="s">
        <v>9</v>
      </c>
      <c r="X18" s="12" t="s">
        <v>9</v>
      </c>
      <c r="Y18" s="13" t="s">
        <v>9</v>
      </c>
      <c r="Z18" s="12" t="s">
        <v>9</v>
      </c>
      <c r="AA18" s="12" t="s">
        <v>9</v>
      </c>
      <c r="AB18" s="12" t="s">
        <v>9</v>
      </c>
      <c r="AC18" s="12" t="s">
        <v>9</v>
      </c>
      <c r="AD18" s="12" t="s">
        <v>9</v>
      </c>
      <c r="AE18" s="57" t="s">
        <v>9</v>
      </c>
      <c r="AF18" s="12" t="s">
        <v>9</v>
      </c>
      <c r="AG18" s="53" t="s">
        <v>9</v>
      </c>
      <c r="AH18" s="12" t="s">
        <v>9</v>
      </c>
      <c r="AI18" s="12" t="s">
        <v>9</v>
      </c>
      <c r="AJ18" s="12" t="s">
        <v>9</v>
      </c>
      <c r="AK18" s="12" t="s">
        <v>9</v>
      </c>
      <c r="AL18" s="12" t="s">
        <v>9</v>
      </c>
      <c r="AM18" s="12" t="s">
        <v>9</v>
      </c>
      <c r="AN18" s="12" t="s">
        <v>9</v>
      </c>
      <c r="AO18" s="12" t="s">
        <v>9</v>
      </c>
      <c r="AP18" s="61"/>
      <c r="AQ18" s="61"/>
      <c r="AR18" s="21"/>
      <c r="AS18" s="21"/>
      <c r="AT18" s="21"/>
      <c r="AU18" s="22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</row>
    <row r="19" spans="3:59" ht="30.75">
      <c r="C19" s="56"/>
      <c r="D19" s="56"/>
      <c r="E19" s="44" t="s">
        <v>83</v>
      </c>
      <c r="F19" s="45" t="s">
        <v>84</v>
      </c>
      <c r="G19" s="46" t="s">
        <v>120</v>
      </c>
      <c r="H19" s="46" t="s">
        <v>122</v>
      </c>
      <c r="I19" s="66" t="s">
        <v>9</v>
      </c>
      <c r="J19" s="66" t="s">
        <v>9</v>
      </c>
      <c r="K19" s="66" t="s">
        <v>9</v>
      </c>
      <c r="L19" s="66" t="s">
        <v>9</v>
      </c>
      <c r="M19" s="9" t="s">
        <v>9</v>
      </c>
      <c r="N19" s="9" t="s">
        <v>9</v>
      </c>
      <c r="O19" s="67" t="s">
        <v>9</v>
      </c>
      <c r="P19" s="12" t="s">
        <v>9</v>
      </c>
      <c r="Q19" s="10" t="s">
        <v>9</v>
      </c>
      <c r="R19" s="12" t="s">
        <v>9</v>
      </c>
      <c r="S19" s="68" t="s">
        <v>9</v>
      </c>
      <c r="T19" s="65" t="s">
        <v>9</v>
      </c>
      <c r="U19" s="5" t="s">
        <v>9</v>
      </c>
      <c r="V19" s="5" t="s">
        <v>9</v>
      </c>
      <c r="W19" s="5" t="s">
        <v>9</v>
      </c>
      <c r="X19" s="5" t="s">
        <v>9</v>
      </c>
      <c r="Y19" s="5" t="s">
        <v>9</v>
      </c>
      <c r="Z19" s="12" t="s">
        <v>9</v>
      </c>
      <c r="AA19" s="5" t="s">
        <v>9</v>
      </c>
      <c r="AB19" s="5" t="s">
        <v>9</v>
      </c>
      <c r="AC19" s="5" t="s">
        <v>9</v>
      </c>
      <c r="AD19" s="5" t="s">
        <v>9</v>
      </c>
      <c r="AE19" s="70" t="s">
        <v>9</v>
      </c>
      <c r="AF19" s="5" t="s">
        <v>9</v>
      </c>
      <c r="AG19" s="5" t="s">
        <v>9</v>
      </c>
      <c r="AH19" s="5" t="s">
        <v>9</v>
      </c>
      <c r="AI19" s="5" t="s">
        <v>9</v>
      </c>
      <c r="AJ19" s="5" t="s">
        <v>9</v>
      </c>
      <c r="AK19" s="5" t="s">
        <v>9</v>
      </c>
      <c r="AL19" s="5" t="s">
        <v>9</v>
      </c>
      <c r="AM19" s="5" t="s">
        <v>9</v>
      </c>
      <c r="AN19" s="5" t="s">
        <v>9</v>
      </c>
      <c r="AO19" s="5" t="s">
        <v>9</v>
      </c>
      <c r="AP19" s="59" t="s">
        <v>123</v>
      </c>
      <c r="AQ19" s="60"/>
      <c r="AR19" s="21"/>
      <c r="AS19" s="21"/>
      <c r="AT19" s="21"/>
      <c r="AU19" s="22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</row>
    <row r="20" spans="3:59">
      <c r="C20" s="73"/>
      <c r="D20" s="73"/>
      <c r="E20" s="74" t="s">
        <v>78</v>
      </c>
      <c r="F20" s="75" t="s">
        <v>79</v>
      </c>
      <c r="G20" s="76" t="s">
        <v>124</v>
      </c>
      <c r="H20" s="76" t="s">
        <v>125</v>
      </c>
      <c r="I20" s="47"/>
      <c r="J20" s="47"/>
      <c r="K20" s="47"/>
      <c r="L20" s="196" t="s">
        <v>97</v>
      </c>
      <c r="M20" s="35"/>
      <c r="N20" s="207" t="s">
        <v>97</v>
      </c>
      <c r="O20" s="11"/>
      <c r="P20" s="205" t="s">
        <v>90</v>
      </c>
      <c r="Q20" s="12"/>
      <c r="R20" s="205" t="s">
        <v>95</v>
      </c>
      <c r="S20" s="7"/>
      <c r="T20" s="205" t="s">
        <v>109</v>
      </c>
      <c r="U20" s="7"/>
      <c r="V20" s="200" t="s">
        <v>9</v>
      </c>
      <c r="W20" s="200" t="s">
        <v>9</v>
      </c>
      <c r="X20" s="200" t="s">
        <v>9</v>
      </c>
      <c r="Y20" s="200" t="s">
        <v>9</v>
      </c>
      <c r="Z20" s="12" t="s">
        <v>9</v>
      </c>
      <c r="AA20" s="200" t="s">
        <v>9</v>
      </c>
      <c r="AB20" s="200" t="s">
        <v>9</v>
      </c>
      <c r="AC20" s="200" t="s">
        <v>9</v>
      </c>
      <c r="AD20" s="200" t="s">
        <v>9</v>
      </c>
      <c r="AE20" s="202"/>
      <c r="AF20" s="203"/>
      <c r="AG20" s="204"/>
      <c r="AH20" s="85"/>
      <c r="AI20" s="86"/>
      <c r="AJ20" s="86"/>
      <c r="AK20" s="86"/>
      <c r="AL20" s="81"/>
      <c r="AM20" s="82"/>
      <c r="AN20" s="81"/>
      <c r="AO20" s="81"/>
      <c r="AP20" s="83"/>
      <c r="AQ20" s="84"/>
      <c r="AR20" s="21"/>
      <c r="AS20" s="21"/>
      <c r="AT20" s="21"/>
      <c r="AU20" s="22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</row>
    <row r="21" spans="3:59" ht="17.25">
      <c r="C21" s="73"/>
      <c r="D21" s="73"/>
      <c r="E21" s="74" t="s">
        <v>83</v>
      </c>
      <c r="F21" s="75" t="s">
        <v>84</v>
      </c>
      <c r="G21" s="76" t="s">
        <v>126</v>
      </c>
      <c r="H21" s="76" t="s">
        <v>22</v>
      </c>
      <c r="I21" s="48" t="s">
        <v>111</v>
      </c>
      <c r="J21" s="48"/>
      <c r="K21" s="48"/>
      <c r="L21" s="196" t="s">
        <v>87</v>
      </c>
      <c r="M21" s="9"/>
      <c r="N21" s="197" t="s">
        <v>88</v>
      </c>
      <c r="O21" s="9"/>
      <c r="P21" s="205" t="s">
        <v>90</v>
      </c>
      <c r="Q21" s="12"/>
      <c r="R21" s="205" t="s">
        <v>97</v>
      </c>
      <c r="S21" s="5"/>
      <c r="T21" s="199" t="s">
        <v>91</v>
      </c>
      <c r="U21" s="5"/>
      <c r="V21" s="200" t="s">
        <v>5</v>
      </c>
      <c r="W21" s="201" t="s">
        <v>5</v>
      </c>
      <c r="X21" s="200" t="s">
        <v>5</v>
      </c>
      <c r="Y21" s="200" t="s">
        <v>5</v>
      </c>
      <c r="Z21" s="200" t="s">
        <v>5</v>
      </c>
      <c r="AA21" s="200" t="s">
        <v>5</v>
      </c>
      <c r="AB21" s="200" t="s">
        <v>5</v>
      </c>
      <c r="AC21" s="200" t="s">
        <v>5</v>
      </c>
      <c r="AD21" s="197" t="s">
        <v>5</v>
      </c>
      <c r="AE21" s="202"/>
      <c r="AF21" s="203"/>
      <c r="AG21" s="204"/>
      <c r="AH21" s="85"/>
      <c r="AI21" s="86"/>
      <c r="AJ21" s="86"/>
      <c r="AK21" s="86"/>
      <c r="AL21" s="81"/>
      <c r="AM21" s="82"/>
      <c r="AN21" s="81"/>
      <c r="AO21" s="81"/>
      <c r="AP21" s="83"/>
      <c r="AQ21" s="84"/>
      <c r="AR21" s="21"/>
      <c r="AS21" s="21"/>
      <c r="AT21" s="21"/>
      <c r="AU21" s="22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</row>
    <row r="22" spans="3:59" ht="65.25" customHeight="1">
      <c r="C22" s="73"/>
      <c r="D22" s="73"/>
      <c r="E22" s="74" t="s">
        <v>78</v>
      </c>
      <c r="F22" s="75" t="s">
        <v>79</v>
      </c>
      <c r="G22" s="76" t="s">
        <v>127</v>
      </c>
      <c r="H22" s="76" t="s">
        <v>128</v>
      </c>
      <c r="I22" s="47" t="s">
        <v>129</v>
      </c>
      <c r="J22" s="47" t="s">
        <v>129</v>
      </c>
      <c r="K22" s="47" t="s">
        <v>129</v>
      </c>
      <c r="L22" s="196" t="s">
        <v>97</v>
      </c>
      <c r="M22" s="35" t="s">
        <v>130</v>
      </c>
      <c r="N22" s="207" t="s">
        <v>90</v>
      </c>
      <c r="O22" s="11"/>
      <c r="P22" s="205" t="s">
        <v>90</v>
      </c>
      <c r="Q22" s="12"/>
      <c r="R22" s="205" t="s">
        <v>97</v>
      </c>
      <c r="S22" s="7"/>
      <c r="T22" s="205" t="s">
        <v>109</v>
      </c>
      <c r="U22" s="10" t="s">
        <v>131</v>
      </c>
      <c r="V22" s="200" t="s">
        <v>5</v>
      </c>
      <c r="W22" s="206" t="s">
        <v>5</v>
      </c>
      <c r="X22" s="200" t="s">
        <v>5</v>
      </c>
      <c r="Y22" s="200" t="s">
        <v>7</v>
      </c>
      <c r="Z22" s="200" t="s">
        <v>5</v>
      </c>
      <c r="AA22" s="200" t="s">
        <v>5</v>
      </c>
      <c r="AB22" s="200" t="s">
        <v>5</v>
      </c>
      <c r="AC22" s="200" t="s">
        <v>5</v>
      </c>
      <c r="AD22" s="197" t="s">
        <v>5</v>
      </c>
      <c r="AE22" s="202"/>
      <c r="AF22" s="203"/>
      <c r="AG22" s="204"/>
      <c r="AH22" s="85"/>
      <c r="AI22" s="86"/>
      <c r="AJ22" s="86"/>
      <c r="AK22" s="86"/>
      <c r="AL22" s="81"/>
      <c r="AM22" s="82"/>
      <c r="AN22" s="81"/>
      <c r="AO22" s="81"/>
      <c r="AP22" s="83" t="s">
        <v>132</v>
      </c>
      <c r="AQ22" s="84">
        <v>46117</v>
      </c>
      <c r="AR22" s="21"/>
      <c r="AS22" s="21"/>
      <c r="AT22" s="21"/>
      <c r="AU22" s="22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</row>
    <row r="23" spans="3:59">
      <c r="C23" s="73"/>
      <c r="D23" s="73"/>
      <c r="E23" s="74" t="s">
        <v>78</v>
      </c>
      <c r="F23" s="75" t="s">
        <v>79</v>
      </c>
      <c r="G23" s="76" t="s">
        <v>133</v>
      </c>
      <c r="H23" s="76" t="s">
        <v>8</v>
      </c>
      <c r="I23" s="47"/>
      <c r="J23" s="47"/>
      <c r="K23" s="47"/>
      <c r="L23" s="196" t="s">
        <v>97</v>
      </c>
      <c r="M23" s="35"/>
      <c r="N23" s="207" t="s">
        <v>89</v>
      </c>
      <c r="O23" s="11"/>
      <c r="P23" s="205" t="s">
        <v>97</v>
      </c>
      <c r="Q23" s="12"/>
      <c r="R23" s="205" t="s">
        <v>97</v>
      </c>
      <c r="S23" s="7"/>
      <c r="T23" s="205" t="s">
        <v>97</v>
      </c>
      <c r="U23" s="7"/>
      <c r="V23" s="200" t="s">
        <v>7</v>
      </c>
      <c r="W23" s="206" t="s">
        <v>7</v>
      </c>
      <c r="X23" s="200" t="s">
        <v>7</v>
      </c>
      <c r="Y23" s="200" t="s">
        <v>7</v>
      </c>
      <c r="Z23" s="200" t="s">
        <v>7</v>
      </c>
      <c r="AA23" s="200" t="s">
        <v>5</v>
      </c>
      <c r="AB23" s="200" t="s">
        <v>5</v>
      </c>
      <c r="AC23" s="200" t="s">
        <v>7</v>
      </c>
      <c r="AD23" s="197" t="s">
        <v>5</v>
      </c>
      <c r="AE23" s="202"/>
      <c r="AF23" s="203"/>
      <c r="AG23" s="204"/>
      <c r="AH23" s="85"/>
      <c r="AI23" s="86"/>
      <c r="AJ23" s="87"/>
      <c r="AK23" s="80">
        <f>(AJ23)+20</f>
        <v>20</v>
      </c>
      <c r="AL23" s="81"/>
      <c r="AM23" s="82"/>
      <c r="AN23" s="81"/>
      <c r="AO23" s="81"/>
      <c r="AP23" s="83"/>
      <c r="AQ23" s="84"/>
      <c r="AR23" s="21"/>
      <c r="AS23" s="21"/>
      <c r="AT23" s="21"/>
      <c r="AU23" s="22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</row>
    <row r="24" spans="3:59" ht="17.25">
      <c r="C24" s="56"/>
      <c r="D24" s="56"/>
      <c r="E24" s="44" t="s">
        <v>83</v>
      </c>
      <c r="F24" s="45" t="s">
        <v>84</v>
      </c>
      <c r="G24" s="46" t="s">
        <v>134</v>
      </c>
      <c r="H24" s="46" t="s">
        <v>33</v>
      </c>
      <c r="I24" s="48" t="s">
        <v>9</v>
      </c>
      <c r="J24" s="48" t="s">
        <v>9</v>
      </c>
      <c r="K24" s="48" t="s">
        <v>9</v>
      </c>
      <c r="L24" s="42" t="s">
        <v>9</v>
      </c>
      <c r="M24" s="9" t="s">
        <v>9</v>
      </c>
      <c r="N24" s="9" t="s">
        <v>9</v>
      </c>
      <c r="O24" s="9" t="s">
        <v>9</v>
      </c>
      <c r="P24" s="12" t="s">
        <v>9</v>
      </c>
      <c r="Q24" s="12" t="s">
        <v>9</v>
      </c>
      <c r="R24" s="12" t="s">
        <v>9</v>
      </c>
      <c r="S24" s="5" t="s">
        <v>9</v>
      </c>
      <c r="T24" s="13" t="s">
        <v>9</v>
      </c>
      <c r="U24" s="5" t="s">
        <v>9</v>
      </c>
      <c r="V24" s="13" t="s">
        <v>9</v>
      </c>
      <c r="W24" s="30" t="s">
        <v>9</v>
      </c>
      <c r="X24" s="13" t="s">
        <v>9</v>
      </c>
      <c r="Y24" s="13" t="s">
        <v>9</v>
      </c>
      <c r="Z24" s="12" t="s">
        <v>9</v>
      </c>
      <c r="AA24" s="13" t="s">
        <v>9</v>
      </c>
      <c r="AB24" s="13" t="s">
        <v>9</v>
      </c>
      <c r="AC24" s="13" t="s">
        <v>9</v>
      </c>
      <c r="AD24" s="9" t="s">
        <v>9</v>
      </c>
      <c r="AE24" s="71" t="s">
        <v>9</v>
      </c>
      <c r="AF24" s="9" t="s">
        <v>9</v>
      </c>
      <c r="AG24" s="9" t="s">
        <v>9</v>
      </c>
      <c r="AH24" s="9" t="s">
        <v>9</v>
      </c>
      <c r="AI24" s="9" t="s">
        <v>9</v>
      </c>
      <c r="AJ24" s="9" t="s">
        <v>9</v>
      </c>
      <c r="AK24" s="9" t="s">
        <v>9</v>
      </c>
      <c r="AL24" s="9" t="s">
        <v>9</v>
      </c>
      <c r="AM24" s="9" t="s">
        <v>9</v>
      </c>
      <c r="AN24" s="9" t="s">
        <v>9</v>
      </c>
      <c r="AO24" s="9" t="s">
        <v>9</v>
      </c>
      <c r="AP24" s="59" t="s">
        <v>135</v>
      </c>
      <c r="AQ24" s="60">
        <v>46117</v>
      </c>
      <c r="AR24" s="21"/>
      <c r="AS24" s="21"/>
      <c r="AT24" s="21"/>
      <c r="AU24" s="22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</row>
    <row r="25" spans="3:59" ht="17.25">
      <c r="C25" s="73"/>
      <c r="D25" s="73"/>
      <c r="E25" s="74" t="s">
        <v>83</v>
      </c>
      <c r="F25" s="75" t="s">
        <v>84</v>
      </c>
      <c r="G25" s="76" t="s">
        <v>112</v>
      </c>
      <c r="H25" s="76" t="s">
        <v>25</v>
      </c>
      <c r="I25" s="48" t="s">
        <v>111</v>
      </c>
      <c r="J25" s="48"/>
      <c r="K25" s="48"/>
      <c r="L25" s="196" t="s">
        <v>87</v>
      </c>
      <c r="M25" s="9"/>
      <c r="N25" s="197" t="s">
        <v>88</v>
      </c>
      <c r="O25" s="9"/>
      <c r="P25" s="205" t="s">
        <v>100</v>
      </c>
      <c r="Q25" s="12"/>
      <c r="R25" s="205" t="s">
        <v>97</v>
      </c>
      <c r="S25" s="5"/>
      <c r="T25" s="199" t="s">
        <v>109</v>
      </c>
      <c r="U25" s="5"/>
      <c r="V25" s="200" t="s">
        <v>5</v>
      </c>
      <c r="W25" s="201" t="s">
        <v>5</v>
      </c>
      <c r="X25" s="200" t="s">
        <v>5</v>
      </c>
      <c r="Y25" s="200" t="s">
        <v>5</v>
      </c>
      <c r="Z25" s="200" t="s">
        <v>7</v>
      </c>
      <c r="AA25" s="200" t="s">
        <v>5</v>
      </c>
      <c r="AB25" s="200" t="s">
        <v>5</v>
      </c>
      <c r="AC25" s="200" t="s">
        <v>5</v>
      </c>
      <c r="AD25" s="197" t="s">
        <v>5</v>
      </c>
      <c r="AE25" s="202"/>
      <c r="AF25" s="203"/>
      <c r="AG25" s="204"/>
      <c r="AH25" s="85"/>
      <c r="AI25" s="86"/>
      <c r="AJ25" s="86"/>
      <c r="AK25" s="86"/>
      <c r="AL25" s="81"/>
      <c r="AM25" s="82"/>
      <c r="AN25" s="81"/>
      <c r="AO25" s="81"/>
      <c r="AP25" s="83"/>
      <c r="AQ25" s="84"/>
      <c r="AR25" s="21"/>
      <c r="AS25" s="21"/>
      <c r="AT25" s="21"/>
      <c r="AU25" s="22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</row>
    <row r="26" spans="3:59">
      <c r="C26" s="73"/>
      <c r="D26" s="73"/>
      <c r="E26" s="74" t="s">
        <v>78</v>
      </c>
      <c r="F26" s="75" t="s">
        <v>79</v>
      </c>
      <c r="G26" s="76" t="s">
        <v>136</v>
      </c>
      <c r="H26" s="124" t="s">
        <v>137</v>
      </c>
      <c r="I26" s="47"/>
      <c r="J26" s="47"/>
      <c r="K26" s="47"/>
      <c r="L26" s="196" t="s">
        <v>97</v>
      </c>
      <c r="M26" s="35"/>
      <c r="N26" s="207" t="s">
        <v>90</v>
      </c>
      <c r="O26" s="11"/>
      <c r="P26" s="205" t="s">
        <v>100</v>
      </c>
      <c r="Q26" s="12"/>
      <c r="R26" s="205" t="s">
        <v>97</v>
      </c>
      <c r="S26" s="7"/>
      <c r="T26" s="205" t="s">
        <v>97</v>
      </c>
      <c r="U26" s="7"/>
      <c r="V26" s="200" t="s">
        <v>9</v>
      </c>
      <c r="W26" s="200" t="s">
        <v>9</v>
      </c>
      <c r="X26" s="200" t="s">
        <v>9</v>
      </c>
      <c r="Y26" s="200" t="s">
        <v>9</v>
      </c>
      <c r="Z26" s="12" t="s">
        <v>9</v>
      </c>
      <c r="AA26" s="200" t="s">
        <v>9</v>
      </c>
      <c r="AB26" s="200" t="s">
        <v>9</v>
      </c>
      <c r="AC26" s="200" t="s">
        <v>9</v>
      </c>
      <c r="AD26" s="200" t="s">
        <v>9</v>
      </c>
      <c r="AE26" s="200" t="s">
        <v>9</v>
      </c>
      <c r="AF26" s="200" t="s">
        <v>9</v>
      </c>
      <c r="AG26" s="200" t="s">
        <v>9</v>
      </c>
      <c r="AH26" s="200" t="s">
        <v>9</v>
      </c>
      <c r="AI26" s="200" t="s">
        <v>9</v>
      </c>
      <c r="AJ26" s="200" t="s">
        <v>9</v>
      </c>
      <c r="AK26" s="200" t="s">
        <v>9</v>
      </c>
      <c r="AL26" s="200" t="s">
        <v>9</v>
      </c>
      <c r="AM26" s="200" t="s">
        <v>9</v>
      </c>
      <c r="AN26" s="200" t="s">
        <v>9</v>
      </c>
      <c r="AO26" s="200" t="s">
        <v>9</v>
      </c>
      <c r="AP26" s="83"/>
      <c r="AQ26" s="84"/>
      <c r="AR26" s="21"/>
      <c r="AS26" s="21"/>
      <c r="AT26" s="21"/>
      <c r="AU26" s="22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</row>
    <row r="27" spans="3:59" ht="17.25">
      <c r="C27" s="73"/>
      <c r="D27" s="73"/>
      <c r="E27" s="74" t="s">
        <v>83</v>
      </c>
      <c r="F27" s="75" t="s">
        <v>84</v>
      </c>
      <c r="G27" s="76" t="s">
        <v>136</v>
      </c>
      <c r="H27" s="76" t="s">
        <v>138</v>
      </c>
      <c r="I27" s="48" t="s">
        <v>111</v>
      </c>
      <c r="J27" s="48"/>
      <c r="K27" s="48"/>
      <c r="L27" s="196" t="s">
        <v>97</v>
      </c>
      <c r="M27" s="9"/>
      <c r="N27" s="197" t="s">
        <v>88</v>
      </c>
      <c r="O27" s="9"/>
      <c r="P27" s="205" t="s">
        <v>100</v>
      </c>
      <c r="Q27" s="12"/>
      <c r="R27" s="205" t="s">
        <v>97</v>
      </c>
      <c r="S27" s="5"/>
      <c r="T27" s="199" t="s">
        <v>91</v>
      </c>
      <c r="U27" s="5"/>
      <c r="V27" s="200" t="s">
        <v>5</v>
      </c>
      <c r="W27" s="201" t="s">
        <v>5</v>
      </c>
      <c r="X27" s="200" t="s">
        <v>5</v>
      </c>
      <c r="Y27" s="200" t="s">
        <v>5</v>
      </c>
      <c r="Z27" s="200" t="s">
        <v>7</v>
      </c>
      <c r="AA27" s="200" t="s">
        <v>5</v>
      </c>
      <c r="AB27" s="200" t="s">
        <v>5</v>
      </c>
      <c r="AC27" s="200" t="s">
        <v>5</v>
      </c>
      <c r="AD27" s="197" t="s">
        <v>5</v>
      </c>
      <c r="AE27" s="202"/>
      <c r="AF27" s="203"/>
      <c r="AG27" s="204"/>
      <c r="AH27" s="85"/>
      <c r="AI27" s="86"/>
      <c r="AJ27" s="86"/>
      <c r="AK27" s="86"/>
      <c r="AL27" s="81"/>
      <c r="AM27" s="82"/>
      <c r="AN27" s="81"/>
      <c r="AO27" s="81"/>
      <c r="AP27" s="83"/>
      <c r="AQ27" s="84"/>
      <c r="AR27" s="21"/>
      <c r="AS27" s="21"/>
      <c r="AT27" s="21"/>
      <c r="AU27" s="22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</row>
    <row r="28" spans="3:59">
      <c r="C28" s="73"/>
      <c r="D28" s="73"/>
      <c r="E28" s="74" t="s">
        <v>101</v>
      </c>
      <c r="F28" s="75" t="s">
        <v>102</v>
      </c>
      <c r="G28" s="76" t="s">
        <v>139</v>
      </c>
      <c r="H28" s="76" t="s">
        <v>12</v>
      </c>
      <c r="I28" s="47"/>
      <c r="J28" s="47"/>
      <c r="K28" s="47"/>
      <c r="L28" s="196" t="s">
        <v>97</v>
      </c>
      <c r="M28" s="35"/>
      <c r="N28" s="207" t="s">
        <v>90</v>
      </c>
      <c r="O28" s="11"/>
      <c r="P28" s="205" t="s">
        <v>90</v>
      </c>
      <c r="Q28" s="12"/>
      <c r="R28" s="205" t="s">
        <v>97</v>
      </c>
      <c r="S28" s="7"/>
      <c r="T28" s="205" t="s">
        <v>94</v>
      </c>
      <c r="U28" s="7"/>
      <c r="V28" s="200" t="s">
        <v>7</v>
      </c>
      <c r="W28" s="206" t="s">
        <v>5</v>
      </c>
      <c r="X28" s="200" t="s">
        <v>7</v>
      </c>
      <c r="Y28" s="200" t="s">
        <v>7</v>
      </c>
      <c r="Z28" s="200" t="s">
        <v>7</v>
      </c>
      <c r="AA28" s="200" t="s">
        <v>5</v>
      </c>
      <c r="AB28" s="200" t="s">
        <v>5</v>
      </c>
      <c r="AC28" s="200" t="s">
        <v>5</v>
      </c>
      <c r="AD28" s="197" t="s">
        <v>5</v>
      </c>
      <c r="AE28" s="202"/>
      <c r="AF28" s="203"/>
      <c r="AG28" s="204"/>
      <c r="AH28" s="85"/>
      <c r="AI28" s="86"/>
      <c r="AJ28" s="87"/>
      <c r="AK28" s="80">
        <f>(AJ28)+20</f>
        <v>20</v>
      </c>
      <c r="AL28" s="81"/>
      <c r="AM28" s="82"/>
      <c r="AN28" s="81"/>
      <c r="AO28" s="81"/>
      <c r="AP28" s="83"/>
      <c r="AQ28" s="84"/>
      <c r="AR28" s="21"/>
      <c r="AS28" s="21"/>
      <c r="AT28" s="21"/>
      <c r="AU28" s="22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</row>
    <row r="29" spans="3:59">
      <c r="C29" s="73"/>
      <c r="D29" s="73"/>
      <c r="E29" s="74" t="s">
        <v>78</v>
      </c>
      <c r="F29" s="75" t="s">
        <v>79</v>
      </c>
      <c r="G29" s="76" t="s">
        <v>140</v>
      </c>
      <c r="H29" s="76" t="s">
        <v>141</v>
      </c>
      <c r="I29" s="47"/>
      <c r="J29" s="47"/>
      <c r="K29" s="47"/>
      <c r="L29" s="196" t="s">
        <v>97</v>
      </c>
      <c r="M29" s="35"/>
      <c r="N29" s="207" t="s">
        <v>90</v>
      </c>
      <c r="O29" s="11"/>
      <c r="P29" s="205" t="s">
        <v>90</v>
      </c>
      <c r="Q29" s="12"/>
      <c r="R29" s="205" t="s">
        <v>97</v>
      </c>
      <c r="S29" s="7"/>
      <c r="T29" s="205" t="s">
        <v>109</v>
      </c>
      <c r="U29" s="7"/>
      <c r="V29" s="200" t="s">
        <v>7</v>
      </c>
      <c r="W29" s="206" t="s">
        <v>7</v>
      </c>
      <c r="X29" s="200" t="s">
        <v>5</v>
      </c>
      <c r="Y29" s="200" t="s">
        <v>7</v>
      </c>
      <c r="Z29" s="200" t="s">
        <v>7</v>
      </c>
      <c r="AA29" s="200" t="s">
        <v>5</v>
      </c>
      <c r="AB29" s="200" t="s">
        <v>5</v>
      </c>
      <c r="AC29" s="200" t="s">
        <v>5</v>
      </c>
      <c r="AD29" s="197" t="s">
        <v>5</v>
      </c>
      <c r="AE29" s="202"/>
      <c r="AF29" s="203"/>
      <c r="AG29" s="204"/>
      <c r="AH29" s="85"/>
      <c r="AI29" s="86"/>
      <c r="AJ29" s="87"/>
      <c r="AK29" s="80">
        <f>(AJ29)+20</f>
        <v>20</v>
      </c>
      <c r="AL29" s="81"/>
      <c r="AM29" s="82"/>
      <c r="AN29" s="81"/>
      <c r="AO29" s="81"/>
      <c r="AP29" s="83"/>
      <c r="AQ29" s="84"/>
      <c r="AR29" s="21"/>
      <c r="AS29" s="21"/>
      <c r="AT29" s="21"/>
      <c r="AU29" s="22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</row>
    <row r="30" spans="3:59">
      <c r="C30" s="73"/>
      <c r="D30" s="73"/>
      <c r="E30" s="74" t="s">
        <v>78</v>
      </c>
      <c r="F30" s="75" t="s">
        <v>79</v>
      </c>
      <c r="G30" s="76" t="s">
        <v>142</v>
      </c>
      <c r="H30" s="76" t="s">
        <v>143</v>
      </c>
      <c r="I30" s="47"/>
      <c r="J30" s="47"/>
      <c r="K30" s="47"/>
      <c r="L30" s="196" t="s">
        <v>97</v>
      </c>
      <c r="M30" s="35"/>
      <c r="N30" s="207" t="s">
        <v>90</v>
      </c>
      <c r="O30" s="11"/>
      <c r="P30" s="205" t="s">
        <v>90</v>
      </c>
      <c r="Q30" s="12"/>
      <c r="R30" s="205" t="s">
        <v>144</v>
      </c>
      <c r="S30" s="7"/>
      <c r="T30" s="205" t="s">
        <v>94</v>
      </c>
      <c r="U30" s="7"/>
      <c r="V30" s="200" t="s">
        <v>7</v>
      </c>
      <c r="W30" s="206" t="s">
        <v>7</v>
      </c>
      <c r="X30" s="200" t="s">
        <v>7</v>
      </c>
      <c r="Y30" s="200" t="s">
        <v>7</v>
      </c>
      <c r="Z30" s="200" t="s">
        <v>7</v>
      </c>
      <c r="AA30" s="200" t="s">
        <v>5</v>
      </c>
      <c r="AB30" s="200" t="s">
        <v>5</v>
      </c>
      <c r="AC30" s="200" t="s">
        <v>5</v>
      </c>
      <c r="AD30" s="197" t="s">
        <v>5</v>
      </c>
      <c r="AE30" s="202"/>
      <c r="AF30" s="203"/>
      <c r="AG30" s="204"/>
      <c r="AH30" s="200"/>
      <c r="AI30" s="203"/>
      <c r="AJ30" s="209"/>
      <c r="AK30" s="80">
        <f>(AJ30)+20</f>
        <v>20</v>
      </c>
      <c r="AL30" s="81"/>
      <c r="AM30" s="82"/>
      <c r="AN30" s="81"/>
      <c r="AO30" s="81"/>
      <c r="AP30" s="83"/>
      <c r="AQ30" s="84"/>
      <c r="AR30" s="21"/>
      <c r="AS30" s="21"/>
      <c r="AT30" s="21"/>
      <c r="AU30" s="22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</row>
    <row r="31" spans="3:59">
      <c r="C31" s="73"/>
      <c r="D31" s="73"/>
      <c r="E31" s="74" t="s">
        <v>78</v>
      </c>
      <c r="F31" s="75" t="s">
        <v>79</v>
      </c>
      <c r="G31" s="76" t="s">
        <v>145</v>
      </c>
      <c r="H31" s="76" t="s">
        <v>29</v>
      </c>
      <c r="I31" s="47"/>
      <c r="J31" s="47"/>
      <c r="K31" s="47"/>
      <c r="L31" s="196" t="s">
        <v>97</v>
      </c>
      <c r="M31" s="35"/>
      <c r="N31" s="207" t="s">
        <v>97</v>
      </c>
      <c r="O31" s="11"/>
      <c r="P31" s="205" t="s">
        <v>100</v>
      </c>
      <c r="Q31" s="12"/>
      <c r="R31" s="210" t="s">
        <v>108</v>
      </c>
      <c r="S31" s="7"/>
      <c r="T31" s="205" t="s">
        <v>97</v>
      </c>
      <c r="U31" s="7"/>
      <c r="V31" s="200" t="s">
        <v>7</v>
      </c>
      <c r="W31" s="206" t="s">
        <v>5</v>
      </c>
      <c r="X31" s="200" t="s">
        <v>5</v>
      </c>
      <c r="Y31" s="200" t="s">
        <v>5</v>
      </c>
      <c r="Z31" s="200" t="s">
        <v>7</v>
      </c>
      <c r="AA31" s="200" t="s">
        <v>5</v>
      </c>
      <c r="AB31" s="200" t="s">
        <v>5</v>
      </c>
      <c r="AC31" s="200" t="s">
        <v>5</v>
      </c>
      <c r="AD31" s="197" t="s">
        <v>5</v>
      </c>
      <c r="AE31" s="202"/>
      <c r="AF31" s="203"/>
      <c r="AG31" s="204"/>
      <c r="AH31" s="200"/>
      <c r="AI31" s="203"/>
      <c r="AJ31" s="209"/>
      <c r="AK31" s="80">
        <f>(AJ31)+20</f>
        <v>20</v>
      </c>
      <c r="AL31" s="81"/>
      <c r="AM31" s="82"/>
      <c r="AN31" s="81"/>
      <c r="AO31" s="81"/>
      <c r="AP31" s="83"/>
      <c r="AQ31" s="84"/>
      <c r="AR31" s="21"/>
      <c r="AS31" s="21"/>
      <c r="AT31" s="21"/>
      <c r="AU31" s="22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</row>
    <row r="32" spans="3:59" ht="17.25">
      <c r="C32" s="73"/>
      <c r="D32" s="73"/>
      <c r="E32" s="74" t="s">
        <v>83</v>
      </c>
      <c r="F32" s="75" t="s">
        <v>84</v>
      </c>
      <c r="G32" s="76" t="s">
        <v>145</v>
      </c>
      <c r="H32" s="76" t="s">
        <v>146</v>
      </c>
      <c r="I32" s="48" t="s">
        <v>111</v>
      </c>
      <c r="J32" s="48"/>
      <c r="K32" s="48"/>
      <c r="L32" s="196" t="s">
        <v>87</v>
      </c>
      <c r="M32" s="9"/>
      <c r="N32" s="197" t="s">
        <v>88</v>
      </c>
      <c r="O32" s="9"/>
      <c r="P32" s="205" t="s">
        <v>90</v>
      </c>
      <c r="Q32" s="12"/>
      <c r="R32" s="205" t="s">
        <v>97</v>
      </c>
      <c r="S32" s="5"/>
      <c r="T32" s="199" t="s">
        <v>91</v>
      </c>
      <c r="U32" s="5"/>
      <c r="V32" s="200" t="s">
        <v>7</v>
      </c>
      <c r="W32" s="206" t="s">
        <v>7</v>
      </c>
      <c r="X32" s="200" t="s">
        <v>7</v>
      </c>
      <c r="Y32" s="200" t="s">
        <v>7</v>
      </c>
      <c r="Z32" s="200" t="s">
        <v>7</v>
      </c>
      <c r="AA32" s="200" t="s">
        <v>5</v>
      </c>
      <c r="AB32" s="200" t="s">
        <v>5</v>
      </c>
      <c r="AC32" s="200" t="s">
        <v>5</v>
      </c>
      <c r="AD32" s="197" t="s">
        <v>5</v>
      </c>
      <c r="AE32" s="202"/>
      <c r="AF32" s="203"/>
      <c r="AG32" s="204"/>
      <c r="AH32" s="200"/>
      <c r="AI32" s="203"/>
      <c r="AJ32" s="209"/>
      <c r="AK32" s="80">
        <f>(AJ32)+20</f>
        <v>20</v>
      </c>
      <c r="AL32" s="81"/>
      <c r="AM32" s="82"/>
      <c r="AN32" s="81"/>
      <c r="AO32" s="81"/>
      <c r="AP32" s="83"/>
      <c r="AQ32" s="84"/>
      <c r="AR32" s="21"/>
      <c r="AS32" s="21"/>
      <c r="AT32" s="21"/>
      <c r="AU32" s="22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</row>
    <row r="33" spans="3:59">
      <c r="C33" s="73"/>
      <c r="D33" s="73"/>
      <c r="E33" s="74" t="s">
        <v>101</v>
      </c>
      <c r="F33" s="75" t="s">
        <v>102</v>
      </c>
      <c r="G33" s="76" t="s">
        <v>145</v>
      </c>
      <c r="H33" s="76" t="s">
        <v>147</v>
      </c>
      <c r="I33" s="47"/>
      <c r="J33" s="47"/>
      <c r="K33" s="47"/>
      <c r="L33" s="196" t="s">
        <v>97</v>
      </c>
      <c r="M33" s="35"/>
      <c r="N33" s="207" t="s">
        <v>90</v>
      </c>
      <c r="O33" s="11"/>
      <c r="P33" s="205" t="s">
        <v>100</v>
      </c>
      <c r="Q33" s="12"/>
      <c r="R33" s="205" t="s">
        <v>97</v>
      </c>
      <c r="S33" s="7"/>
      <c r="T33" s="205" t="s">
        <v>95</v>
      </c>
      <c r="U33" s="7"/>
      <c r="V33" s="200" t="s">
        <v>7</v>
      </c>
      <c r="W33" s="206" t="s">
        <v>5</v>
      </c>
      <c r="X33" s="200" t="s">
        <v>5</v>
      </c>
      <c r="Y33" s="200" t="s">
        <v>5</v>
      </c>
      <c r="Z33" s="200" t="s">
        <v>7</v>
      </c>
      <c r="AA33" s="200" t="s">
        <v>5</v>
      </c>
      <c r="AB33" s="200" t="s">
        <v>5</v>
      </c>
      <c r="AC33" s="200" t="s">
        <v>5</v>
      </c>
      <c r="AD33" s="197" t="s">
        <v>5</v>
      </c>
      <c r="AE33" s="202"/>
      <c r="AF33" s="203"/>
      <c r="AG33" s="204"/>
      <c r="AH33" s="200"/>
      <c r="AI33" s="203"/>
      <c r="AJ33" s="203"/>
      <c r="AK33" s="203"/>
      <c r="AL33" s="81"/>
      <c r="AM33" s="82"/>
      <c r="AN33" s="81"/>
      <c r="AO33" s="81"/>
      <c r="AP33" s="83"/>
      <c r="AQ33" s="84"/>
      <c r="AR33" s="21"/>
      <c r="AS33" s="21"/>
      <c r="AT33" s="21"/>
      <c r="AU33" s="22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</row>
    <row r="34" spans="3:59">
      <c r="C34" s="73"/>
      <c r="D34" s="73"/>
      <c r="E34" s="74" t="s">
        <v>78</v>
      </c>
      <c r="F34" s="75" t="s">
        <v>79</v>
      </c>
      <c r="G34" s="76" t="s">
        <v>148</v>
      </c>
      <c r="H34" s="76" t="s">
        <v>149</v>
      </c>
      <c r="I34" s="47"/>
      <c r="J34" s="47"/>
      <c r="K34" s="47"/>
      <c r="L34" s="196" t="s">
        <v>97</v>
      </c>
      <c r="M34" s="35"/>
      <c r="N34" s="207" t="s">
        <v>90</v>
      </c>
      <c r="O34" s="11"/>
      <c r="P34" s="205" t="s">
        <v>90</v>
      </c>
      <c r="Q34" s="12"/>
      <c r="R34" s="205" t="s">
        <v>97</v>
      </c>
      <c r="S34" s="7"/>
      <c r="T34" s="205" t="s">
        <v>109</v>
      </c>
      <c r="U34" s="7"/>
      <c r="V34" s="200" t="s">
        <v>7</v>
      </c>
      <c r="W34" s="206" t="s">
        <v>7</v>
      </c>
      <c r="X34" s="200" t="s">
        <v>5</v>
      </c>
      <c r="Y34" s="200" t="s">
        <v>7</v>
      </c>
      <c r="Z34" s="200" t="s">
        <v>5</v>
      </c>
      <c r="AA34" s="200" t="s">
        <v>5</v>
      </c>
      <c r="AB34" s="200" t="s">
        <v>5</v>
      </c>
      <c r="AC34" s="200" t="s">
        <v>5</v>
      </c>
      <c r="AD34" s="197" t="s">
        <v>5</v>
      </c>
      <c r="AE34" s="202"/>
      <c r="AF34" s="203"/>
      <c r="AG34" s="204"/>
      <c r="AH34" s="200"/>
      <c r="AI34" s="203"/>
      <c r="AJ34" s="209"/>
      <c r="AK34" s="80">
        <f>(AJ34)+20</f>
        <v>20</v>
      </c>
      <c r="AL34" s="81"/>
      <c r="AM34" s="82"/>
      <c r="AN34" s="81"/>
      <c r="AO34" s="81"/>
      <c r="AP34" s="83"/>
      <c r="AQ34" s="84"/>
      <c r="AR34" s="21"/>
      <c r="AS34" s="21"/>
      <c r="AT34" s="21"/>
      <c r="AU34" s="22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</row>
    <row r="35" spans="3:59" ht="30.75">
      <c r="C35" s="56"/>
      <c r="D35" s="56"/>
      <c r="E35" s="44" t="s">
        <v>78</v>
      </c>
      <c r="F35" s="45" t="s">
        <v>79</v>
      </c>
      <c r="G35" s="46" t="s">
        <v>150</v>
      </c>
      <c r="H35" s="46" t="s">
        <v>151</v>
      </c>
      <c r="I35" s="47" t="s">
        <v>9</v>
      </c>
      <c r="J35" s="47" t="s">
        <v>9</v>
      </c>
      <c r="K35" s="47" t="s">
        <v>9</v>
      </c>
      <c r="L35" s="47" t="s">
        <v>9</v>
      </c>
      <c r="M35" s="47" t="s">
        <v>9</v>
      </c>
      <c r="N35" s="47" t="s">
        <v>9</v>
      </c>
      <c r="O35" s="47" t="s">
        <v>9</v>
      </c>
      <c r="P35" s="47" t="s">
        <v>9</v>
      </c>
      <c r="Q35" s="47" t="s">
        <v>9</v>
      </c>
      <c r="R35" s="47" t="s">
        <v>9</v>
      </c>
      <c r="S35" s="47" t="s">
        <v>9</v>
      </c>
      <c r="T35" s="47" t="s">
        <v>9</v>
      </c>
      <c r="U35" s="47" t="s">
        <v>9</v>
      </c>
      <c r="V35" s="13" t="s">
        <v>9</v>
      </c>
      <c r="W35" s="13" t="s">
        <v>9</v>
      </c>
      <c r="X35" s="13" t="s">
        <v>9</v>
      </c>
      <c r="Y35" s="13" t="s">
        <v>9</v>
      </c>
      <c r="Z35" s="12" t="s">
        <v>9</v>
      </c>
      <c r="AA35" s="13" t="s">
        <v>9</v>
      </c>
      <c r="AB35" s="13" t="s">
        <v>9</v>
      </c>
      <c r="AC35" s="13" t="s">
        <v>9</v>
      </c>
      <c r="AD35" s="13" t="s">
        <v>9</v>
      </c>
      <c r="AE35" s="69" t="s">
        <v>9</v>
      </c>
      <c r="AF35" s="13" t="s">
        <v>9</v>
      </c>
      <c r="AG35" s="13" t="s">
        <v>9</v>
      </c>
      <c r="AH35" s="13" t="s">
        <v>9</v>
      </c>
      <c r="AI35" s="13" t="s">
        <v>9</v>
      </c>
      <c r="AJ35" s="13" t="s">
        <v>9</v>
      </c>
      <c r="AK35" s="13" t="s">
        <v>9</v>
      </c>
      <c r="AL35" s="13" t="s">
        <v>9</v>
      </c>
      <c r="AM35" s="13" t="s">
        <v>9</v>
      </c>
      <c r="AN35" s="13" t="s">
        <v>9</v>
      </c>
      <c r="AO35" s="13" t="s">
        <v>9</v>
      </c>
      <c r="AP35" s="59">
        <v>46149</v>
      </c>
      <c r="AQ35" s="60" t="s">
        <v>152</v>
      </c>
      <c r="AR35" s="21"/>
      <c r="AS35" s="21"/>
      <c r="AT35" s="21"/>
      <c r="AU35" s="22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</row>
    <row r="36" spans="3:59">
      <c r="C36" s="73"/>
      <c r="D36" s="73"/>
      <c r="E36" s="74" t="s">
        <v>78</v>
      </c>
      <c r="F36" s="75" t="s">
        <v>79</v>
      </c>
      <c r="G36" s="76" t="s">
        <v>153</v>
      </c>
      <c r="H36" s="76" t="s">
        <v>31</v>
      </c>
      <c r="I36" s="47"/>
      <c r="J36" s="47"/>
      <c r="K36" s="47"/>
      <c r="L36" s="196" t="s">
        <v>97</v>
      </c>
      <c r="M36" s="35"/>
      <c r="N36" s="207" t="s">
        <v>90</v>
      </c>
      <c r="O36" s="11"/>
      <c r="P36" s="205" t="s">
        <v>90</v>
      </c>
      <c r="Q36" s="12"/>
      <c r="R36" s="205" t="s">
        <v>97</v>
      </c>
      <c r="S36" s="7"/>
      <c r="T36" s="205" t="s">
        <v>109</v>
      </c>
      <c r="U36" s="7"/>
      <c r="V36" s="200" t="s">
        <v>7</v>
      </c>
      <c r="W36" s="206" t="s">
        <v>7</v>
      </c>
      <c r="X36" s="200" t="s">
        <v>7</v>
      </c>
      <c r="Y36" s="200" t="s">
        <v>7</v>
      </c>
      <c r="Z36" s="200" t="s">
        <v>7</v>
      </c>
      <c r="AA36" s="200" t="s">
        <v>5</v>
      </c>
      <c r="AB36" s="200" t="s">
        <v>5</v>
      </c>
      <c r="AC36" s="200" t="s">
        <v>5</v>
      </c>
      <c r="AD36" s="197" t="s">
        <v>5</v>
      </c>
      <c r="AE36" s="202"/>
      <c r="AF36" s="203"/>
      <c r="AG36" s="204"/>
      <c r="AH36" s="200"/>
      <c r="AI36" s="203"/>
      <c r="AJ36" s="209"/>
      <c r="AK36" s="80">
        <f>(AJ36)+20</f>
        <v>20</v>
      </c>
      <c r="AL36" s="81"/>
      <c r="AM36" s="82"/>
      <c r="AN36" s="81"/>
      <c r="AO36" s="81"/>
      <c r="AP36" s="83"/>
      <c r="AQ36" s="84"/>
      <c r="AR36" s="21"/>
      <c r="AS36" s="21"/>
      <c r="AT36" s="21"/>
      <c r="AU36" s="22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</row>
    <row r="37" spans="3:59" ht="17.25">
      <c r="C37" s="73"/>
      <c r="D37" s="73"/>
      <c r="E37" s="74" t="s">
        <v>83</v>
      </c>
      <c r="F37" s="75" t="s">
        <v>84</v>
      </c>
      <c r="G37" s="76" t="s">
        <v>154</v>
      </c>
      <c r="H37" s="76" t="s">
        <v>19</v>
      </c>
      <c r="I37" s="48" t="s">
        <v>111</v>
      </c>
      <c r="J37" s="48"/>
      <c r="K37" s="48"/>
      <c r="L37" s="196" t="s">
        <v>97</v>
      </c>
      <c r="M37" s="9"/>
      <c r="N37" s="197" t="s">
        <v>88</v>
      </c>
      <c r="O37" s="9"/>
      <c r="P37" s="205" t="s">
        <v>88</v>
      </c>
      <c r="Q37" s="12"/>
      <c r="R37" s="205" t="s">
        <v>97</v>
      </c>
      <c r="S37" s="5"/>
      <c r="T37" s="199" t="s">
        <v>91</v>
      </c>
      <c r="U37" s="5"/>
      <c r="V37" s="200" t="s">
        <v>7</v>
      </c>
      <c r="W37" s="206" t="s">
        <v>7</v>
      </c>
      <c r="X37" s="200" t="s">
        <v>7</v>
      </c>
      <c r="Y37" s="200" t="s">
        <v>7</v>
      </c>
      <c r="Z37" s="200" t="s">
        <v>7</v>
      </c>
      <c r="AA37" s="200" t="s">
        <v>5</v>
      </c>
      <c r="AB37" s="200" t="s">
        <v>5</v>
      </c>
      <c r="AC37" s="200" t="s">
        <v>5</v>
      </c>
      <c r="AD37" s="197" t="s">
        <v>5</v>
      </c>
      <c r="AE37" s="202"/>
      <c r="AF37" s="203"/>
      <c r="AG37" s="204"/>
      <c r="AH37" s="200"/>
      <c r="AI37" s="203"/>
      <c r="AJ37" s="209"/>
      <c r="AK37" s="80">
        <f>(AJ37)+20</f>
        <v>20</v>
      </c>
      <c r="AL37" s="81"/>
      <c r="AM37" s="82"/>
      <c r="AN37" s="81"/>
      <c r="AO37" s="81"/>
      <c r="AP37" s="83"/>
      <c r="AQ37" s="84"/>
      <c r="AR37" s="21"/>
      <c r="AS37" s="21"/>
      <c r="AT37" s="21"/>
      <c r="AU37" s="22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</row>
    <row r="38" spans="3:59">
      <c r="C38" s="73"/>
      <c r="D38" s="73"/>
      <c r="E38" s="74" t="s">
        <v>78</v>
      </c>
      <c r="F38" s="75" t="s">
        <v>79</v>
      </c>
      <c r="G38" s="76" t="s">
        <v>155</v>
      </c>
      <c r="H38" s="76" t="s">
        <v>21</v>
      </c>
      <c r="I38" s="47"/>
      <c r="J38" s="47"/>
      <c r="K38" s="47"/>
      <c r="L38" s="196" t="s">
        <v>97</v>
      </c>
      <c r="M38" s="11"/>
      <c r="N38" s="207" t="s">
        <v>90</v>
      </c>
      <c r="O38" s="11"/>
      <c r="P38" s="205" t="s">
        <v>100</v>
      </c>
      <c r="Q38" s="12"/>
      <c r="R38" s="205" t="s">
        <v>90</v>
      </c>
      <c r="S38" s="7"/>
      <c r="T38" s="205" t="s">
        <v>156</v>
      </c>
      <c r="U38" s="7"/>
      <c r="V38" s="200" t="s">
        <v>7</v>
      </c>
      <c r="W38" s="206" t="s">
        <v>7</v>
      </c>
      <c r="X38" s="200" t="s">
        <v>7</v>
      </c>
      <c r="Y38" s="200" t="s">
        <v>7</v>
      </c>
      <c r="Z38" s="200" t="s">
        <v>7</v>
      </c>
      <c r="AA38" s="200" t="s">
        <v>5</v>
      </c>
      <c r="AB38" s="200" t="s">
        <v>5</v>
      </c>
      <c r="AC38" s="200" t="s">
        <v>5</v>
      </c>
      <c r="AD38" s="197" t="s">
        <v>5</v>
      </c>
      <c r="AE38" s="202"/>
      <c r="AF38" s="203"/>
      <c r="AG38" s="204"/>
      <c r="AH38" s="200"/>
      <c r="AI38" s="203"/>
      <c r="AJ38" s="209"/>
      <c r="AK38" s="80">
        <f>(AJ38)+20</f>
        <v>20</v>
      </c>
      <c r="AL38" s="81"/>
      <c r="AM38" s="82"/>
      <c r="AN38" s="81"/>
      <c r="AO38" s="81"/>
      <c r="AP38" s="83"/>
      <c r="AQ38" s="84"/>
      <c r="AR38" s="21"/>
      <c r="AS38" s="21"/>
      <c r="AT38" s="21"/>
      <c r="AU38" s="22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</row>
    <row r="39" spans="3:59" ht="31.5" customHeight="1">
      <c r="C39" s="73"/>
      <c r="D39" s="73"/>
      <c r="E39" s="74" t="s">
        <v>83</v>
      </c>
      <c r="F39" s="75" t="s">
        <v>84</v>
      </c>
      <c r="G39" s="76" t="s">
        <v>157</v>
      </c>
      <c r="H39" s="76" t="s">
        <v>23</v>
      </c>
      <c r="I39" s="48" t="s">
        <v>111</v>
      </c>
      <c r="J39" s="48"/>
      <c r="K39" s="48"/>
      <c r="L39" s="196" t="s">
        <v>97</v>
      </c>
      <c r="M39" s="9"/>
      <c r="N39" s="197" t="s">
        <v>88</v>
      </c>
      <c r="O39" s="9"/>
      <c r="P39" s="205" t="s">
        <v>88</v>
      </c>
      <c r="Q39" s="12"/>
      <c r="R39" s="205" t="s">
        <v>97</v>
      </c>
      <c r="S39" s="5"/>
      <c r="T39" s="199" t="s">
        <v>91</v>
      </c>
      <c r="U39" s="5"/>
      <c r="V39" s="200" t="s">
        <v>7</v>
      </c>
      <c r="W39" s="201" t="s">
        <v>5</v>
      </c>
      <c r="X39" s="200" t="s">
        <v>7</v>
      </c>
      <c r="Y39" s="200" t="s">
        <v>7</v>
      </c>
      <c r="Z39" s="200" t="s">
        <v>7</v>
      </c>
      <c r="AA39" s="200" t="s">
        <v>5</v>
      </c>
      <c r="AB39" s="200" t="s">
        <v>5</v>
      </c>
      <c r="AC39" s="200" t="s">
        <v>5</v>
      </c>
      <c r="AD39" s="197" t="s">
        <v>5</v>
      </c>
      <c r="AE39" s="202"/>
      <c r="AF39" s="203"/>
      <c r="AG39" s="204"/>
      <c r="AH39" s="200"/>
      <c r="AI39" s="203"/>
      <c r="AJ39" s="203"/>
      <c r="AK39" s="203"/>
      <c r="AL39" s="81"/>
      <c r="AM39" s="82"/>
      <c r="AN39" s="81"/>
      <c r="AO39" s="81"/>
      <c r="AP39" s="83"/>
      <c r="AQ39" s="84"/>
      <c r="AR39" s="21"/>
      <c r="AS39" s="21"/>
      <c r="AT39" s="21"/>
      <c r="AU39" s="22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</row>
    <row r="40" spans="3:59">
      <c r="C40" s="73"/>
      <c r="D40" s="73"/>
      <c r="E40" s="74" t="s">
        <v>101</v>
      </c>
      <c r="F40" s="75" t="s">
        <v>102</v>
      </c>
      <c r="G40" s="76" t="s">
        <v>158</v>
      </c>
      <c r="H40" s="76" t="s">
        <v>159</v>
      </c>
      <c r="I40" s="47"/>
      <c r="J40" s="47"/>
      <c r="K40" s="47"/>
      <c r="L40" s="196" t="s">
        <v>160</v>
      </c>
      <c r="M40" s="11"/>
      <c r="N40" s="207" t="s">
        <v>105</v>
      </c>
      <c r="O40" s="11"/>
      <c r="P40" s="205" t="s">
        <v>9</v>
      </c>
      <c r="Q40" s="12" t="s">
        <v>9</v>
      </c>
      <c r="R40" s="205" t="s">
        <v>9</v>
      </c>
      <c r="S40" s="12" t="s">
        <v>9</v>
      </c>
      <c r="T40" s="205" t="s">
        <v>9</v>
      </c>
      <c r="U40" s="12" t="s">
        <v>9</v>
      </c>
      <c r="V40" s="205" t="s">
        <v>9</v>
      </c>
      <c r="W40" s="205" t="s">
        <v>9</v>
      </c>
      <c r="X40" s="205" t="s">
        <v>9</v>
      </c>
      <c r="Y40" s="205" t="s">
        <v>9</v>
      </c>
      <c r="Z40" s="12" t="s">
        <v>9</v>
      </c>
      <c r="AA40" s="205" t="s">
        <v>9</v>
      </c>
      <c r="AB40" s="205" t="s">
        <v>9</v>
      </c>
      <c r="AC40" s="205" t="s">
        <v>9</v>
      </c>
      <c r="AD40" s="205" t="s">
        <v>9</v>
      </c>
      <c r="AE40" s="211" t="s">
        <v>9</v>
      </c>
      <c r="AF40" s="205" t="s">
        <v>9</v>
      </c>
      <c r="AG40" s="212" t="s">
        <v>9</v>
      </c>
      <c r="AH40" s="205" t="s">
        <v>9</v>
      </c>
      <c r="AI40" s="205" t="s">
        <v>9</v>
      </c>
      <c r="AJ40" s="205" t="s">
        <v>9</v>
      </c>
      <c r="AK40" s="205" t="s">
        <v>9</v>
      </c>
      <c r="AL40" s="205" t="s">
        <v>9</v>
      </c>
      <c r="AM40" s="205" t="s">
        <v>9</v>
      </c>
      <c r="AN40" s="205" t="s">
        <v>9</v>
      </c>
      <c r="AO40" s="205" t="s">
        <v>9</v>
      </c>
      <c r="AP40" s="211"/>
      <c r="AQ40" s="211"/>
      <c r="AR40" s="21"/>
      <c r="AS40" s="21"/>
      <c r="AT40" s="21"/>
      <c r="AU40" s="22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</row>
    <row r="41" spans="3:59">
      <c r="C41" s="73"/>
      <c r="D41" s="73"/>
      <c r="E41" s="74" t="s">
        <v>78</v>
      </c>
      <c r="F41" s="75" t="s">
        <v>79</v>
      </c>
      <c r="G41" s="76" t="s">
        <v>161</v>
      </c>
      <c r="H41" s="76" t="s">
        <v>6</v>
      </c>
      <c r="I41" s="47"/>
      <c r="J41" s="47"/>
      <c r="K41" s="47"/>
      <c r="L41" s="196" t="s">
        <v>97</v>
      </c>
      <c r="M41" s="11"/>
      <c r="N41" s="207" t="s">
        <v>105</v>
      </c>
      <c r="O41" s="11"/>
      <c r="P41" s="205" t="s">
        <v>97</v>
      </c>
      <c r="Q41" s="12"/>
      <c r="R41" s="205" t="s">
        <v>109</v>
      </c>
      <c r="S41" s="7"/>
      <c r="T41" s="205" t="s">
        <v>109</v>
      </c>
      <c r="U41" s="7"/>
      <c r="V41" s="200" t="s">
        <v>7</v>
      </c>
      <c r="W41" s="206" t="s">
        <v>7</v>
      </c>
      <c r="X41" s="200" t="s">
        <v>7</v>
      </c>
      <c r="Y41" s="200" t="s">
        <v>7</v>
      </c>
      <c r="Z41" s="200" t="s">
        <v>7</v>
      </c>
      <c r="AA41" s="200" t="s">
        <v>5</v>
      </c>
      <c r="AB41" s="200" t="s">
        <v>5</v>
      </c>
      <c r="AC41" s="200" t="s">
        <v>7</v>
      </c>
      <c r="AD41" s="197" t="s">
        <v>5</v>
      </c>
      <c r="AE41" s="202"/>
      <c r="AF41" s="203"/>
      <c r="AG41" s="204"/>
      <c r="AH41" s="200"/>
      <c r="AI41" s="203"/>
      <c r="AJ41" s="209"/>
      <c r="AK41" s="80">
        <f>(AJ41)+20</f>
        <v>20</v>
      </c>
      <c r="AL41" s="81"/>
      <c r="AM41" s="82"/>
      <c r="AN41" s="81"/>
      <c r="AO41" s="81"/>
      <c r="AP41" s="83"/>
      <c r="AQ41" s="84"/>
      <c r="AR41" s="21"/>
      <c r="AS41" s="21"/>
      <c r="AT41" s="21"/>
      <c r="AU41" s="22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</row>
    <row r="42" spans="3:59">
      <c r="C42" s="73"/>
      <c r="D42" s="73"/>
      <c r="E42" s="74" t="s">
        <v>78</v>
      </c>
      <c r="F42" s="75" t="s">
        <v>79</v>
      </c>
      <c r="G42" s="76" t="s">
        <v>162</v>
      </c>
      <c r="H42" s="76" t="s">
        <v>163</v>
      </c>
      <c r="I42" s="47"/>
      <c r="J42" s="47"/>
      <c r="K42" s="47"/>
      <c r="L42" s="196" t="s">
        <v>95</v>
      </c>
      <c r="M42" s="35"/>
      <c r="N42" s="207" t="s">
        <v>164</v>
      </c>
      <c r="O42" s="11"/>
      <c r="P42" s="205" t="s">
        <v>90</v>
      </c>
      <c r="Q42" s="12"/>
      <c r="R42" s="210" t="s">
        <v>109</v>
      </c>
      <c r="S42" s="7"/>
      <c r="T42" s="205" t="s">
        <v>109</v>
      </c>
      <c r="U42" s="7"/>
      <c r="V42" s="200" t="s">
        <v>5</v>
      </c>
      <c r="W42" s="201" t="s">
        <v>5</v>
      </c>
      <c r="X42" s="200" t="s">
        <v>5</v>
      </c>
      <c r="Y42" s="200" t="s">
        <v>5</v>
      </c>
      <c r="Z42" s="200" t="s">
        <v>5</v>
      </c>
      <c r="AA42" s="200" t="s">
        <v>5</v>
      </c>
      <c r="AB42" s="200" t="s">
        <v>5</v>
      </c>
      <c r="AC42" s="200" t="s">
        <v>5</v>
      </c>
      <c r="AD42" s="197" t="s">
        <v>5</v>
      </c>
      <c r="AE42" s="202"/>
      <c r="AF42" s="203"/>
      <c r="AG42" s="204"/>
      <c r="AH42" s="200"/>
      <c r="AI42" s="203"/>
      <c r="AJ42" s="203"/>
      <c r="AK42" s="203"/>
      <c r="AL42" s="81"/>
      <c r="AM42" s="82"/>
      <c r="AN42" s="81"/>
      <c r="AO42" s="81"/>
      <c r="AP42" s="83"/>
      <c r="AQ42" s="84"/>
      <c r="AR42" s="21"/>
      <c r="AS42" s="21"/>
      <c r="AT42" s="21"/>
      <c r="AU42" s="22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</row>
    <row r="43" spans="3:59" ht="17.25">
      <c r="C43" s="73"/>
      <c r="D43" s="73"/>
      <c r="E43" s="74" t="s">
        <v>83</v>
      </c>
      <c r="F43" s="75" t="s">
        <v>84</v>
      </c>
      <c r="G43" s="76" t="s">
        <v>162</v>
      </c>
      <c r="H43" s="76" t="s">
        <v>10</v>
      </c>
      <c r="I43" s="48" t="s">
        <v>111</v>
      </c>
      <c r="J43" s="48"/>
      <c r="K43" s="48"/>
      <c r="L43" s="196" t="s">
        <v>160</v>
      </c>
      <c r="M43" s="9"/>
      <c r="N43" s="197" t="s">
        <v>88</v>
      </c>
      <c r="O43" s="9"/>
      <c r="P43" s="205" t="s">
        <v>88</v>
      </c>
      <c r="Q43" s="12"/>
      <c r="R43" s="203" t="s">
        <v>165</v>
      </c>
      <c r="S43" s="5"/>
      <c r="T43" s="199" t="s">
        <v>91</v>
      </c>
      <c r="U43" s="5"/>
      <c r="V43" s="200" t="s">
        <v>7</v>
      </c>
      <c r="W43" s="206" t="s">
        <v>7</v>
      </c>
      <c r="X43" s="200" t="s">
        <v>7</v>
      </c>
      <c r="Y43" s="200" t="s">
        <v>7</v>
      </c>
      <c r="Z43" s="200" t="s">
        <v>7</v>
      </c>
      <c r="AA43" s="200" t="s">
        <v>5</v>
      </c>
      <c r="AB43" s="200" t="s">
        <v>5</v>
      </c>
      <c r="AC43" s="200" t="s">
        <v>5</v>
      </c>
      <c r="AD43" s="197" t="s">
        <v>7</v>
      </c>
      <c r="AE43" s="202"/>
      <c r="AF43" s="203"/>
      <c r="AG43" s="204"/>
      <c r="AH43" s="200"/>
      <c r="AI43" s="203"/>
      <c r="AJ43" s="209"/>
      <c r="AK43" s="80">
        <f>(AJ43)+20</f>
        <v>20</v>
      </c>
      <c r="AL43" s="81"/>
      <c r="AM43" s="82"/>
      <c r="AN43" s="81"/>
      <c r="AO43" s="81"/>
      <c r="AP43" s="83"/>
      <c r="AQ43" s="84"/>
      <c r="AR43" s="21"/>
      <c r="AS43" s="21"/>
      <c r="AT43" s="21"/>
      <c r="AU43" s="22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</row>
    <row r="44" spans="3:59" ht="45.75">
      <c r="C44" s="73"/>
      <c r="D44" s="73"/>
      <c r="E44" s="74" t="s">
        <v>101</v>
      </c>
      <c r="F44" s="75" t="s">
        <v>102</v>
      </c>
      <c r="G44" s="76" t="s">
        <v>162</v>
      </c>
      <c r="H44" s="76" t="s">
        <v>166</v>
      </c>
      <c r="I44" s="48"/>
      <c r="J44" s="48"/>
      <c r="K44" s="48"/>
      <c r="L44" s="196" t="s">
        <v>97</v>
      </c>
      <c r="M44" s="35" t="s">
        <v>167</v>
      </c>
      <c r="N44" s="207" t="s">
        <v>105</v>
      </c>
      <c r="O44" s="11"/>
      <c r="P44" s="205" t="s">
        <v>100</v>
      </c>
      <c r="Q44" s="12"/>
      <c r="R44" s="205" t="s">
        <v>97</v>
      </c>
      <c r="S44" s="7"/>
      <c r="T44" s="205" t="s">
        <v>106</v>
      </c>
      <c r="U44" s="7"/>
      <c r="V44" s="200" t="s">
        <v>5</v>
      </c>
      <c r="W44" s="206" t="s">
        <v>5</v>
      </c>
      <c r="X44" s="200" t="s">
        <v>5</v>
      </c>
      <c r="Y44" s="200" t="s">
        <v>5</v>
      </c>
      <c r="Z44" s="200" t="s">
        <v>5</v>
      </c>
      <c r="AA44" s="200" t="s">
        <v>5</v>
      </c>
      <c r="AB44" s="200" t="s">
        <v>5</v>
      </c>
      <c r="AC44" s="200" t="s">
        <v>5</v>
      </c>
      <c r="AD44" s="197" t="s">
        <v>5</v>
      </c>
      <c r="AE44" s="202"/>
      <c r="AF44" s="203"/>
      <c r="AG44" s="204"/>
      <c r="AH44" s="200"/>
      <c r="AI44" s="203"/>
      <c r="AJ44" s="203"/>
      <c r="AK44" s="203"/>
      <c r="AL44" s="81"/>
      <c r="AM44" s="82"/>
      <c r="AN44" s="81"/>
      <c r="AO44" s="81"/>
      <c r="AP44" s="83"/>
      <c r="AQ44" s="84"/>
      <c r="AR44" s="21"/>
      <c r="AS44" s="21"/>
      <c r="AT44" s="21"/>
      <c r="AU44" s="22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</row>
    <row r="45" spans="3:59" ht="17.25">
      <c r="C45" s="56"/>
      <c r="D45" s="56"/>
      <c r="E45" s="44" t="s">
        <v>78</v>
      </c>
      <c r="F45" s="45" t="s">
        <v>79</v>
      </c>
      <c r="G45" s="46" t="s">
        <v>162</v>
      </c>
      <c r="H45" s="46" t="s">
        <v>168</v>
      </c>
      <c r="I45" s="19" t="s">
        <v>9</v>
      </c>
      <c r="J45" s="19" t="s">
        <v>9</v>
      </c>
      <c r="K45" s="19" t="s">
        <v>9</v>
      </c>
      <c r="L45" s="19" t="s">
        <v>9</v>
      </c>
      <c r="M45" s="19" t="s">
        <v>9</v>
      </c>
      <c r="N45" s="19" t="s">
        <v>9</v>
      </c>
      <c r="O45" s="19" t="s">
        <v>9</v>
      </c>
      <c r="P45" s="12" t="s">
        <v>9</v>
      </c>
      <c r="Q45" s="12" t="s">
        <v>9</v>
      </c>
      <c r="R45" s="12" t="s">
        <v>9</v>
      </c>
      <c r="S45" s="12" t="s">
        <v>9</v>
      </c>
      <c r="T45" s="12" t="s">
        <v>9</v>
      </c>
      <c r="U45" s="12" t="s">
        <v>9</v>
      </c>
      <c r="V45" s="12" t="s">
        <v>9</v>
      </c>
      <c r="W45" s="12" t="s">
        <v>9</v>
      </c>
      <c r="X45" s="12" t="s">
        <v>9</v>
      </c>
      <c r="Y45" s="13" t="s">
        <v>9</v>
      </c>
      <c r="Z45" s="12" t="s">
        <v>9</v>
      </c>
      <c r="AA45" s="12" t="s">
        <v>9</v>
      </c>
      <c r="AB45" s="12" t="s">
        <v>9</v>
      </c>
      <c r="AC45" s="12" t="s">
        <v>9</v>
      </c>
      <c r="AD45" s="12" t="s">
        <v>9</v>
      </c>
      <c r="AE45" s="57" t="s">
        <v>9</v>
      </c>
      <c r="AF45" s="12" t="s">
        <v>9</v>
      </c>
      <c r="AG45" s="53" t="s">
        <v>9</v>
      </c>
      <c r="AH45" s="12" t="s">
        <v>9</v>
      </c>
      <c r="AI45" s="12" t="s">
        <v>9</v>
      </c>
      <c r="AJ45" s="12" t="s">
        <v>9</v>
      </c>
      <c r="AK45" s="12" t="s">
        <v>9</v>
      </c>
      <c r="AL45" s="12" t="s">
        <v>9</v>
      </c>
      <c r="AM45" s="12" t="s">
        <v>9</v>
      </c>
      <c r="AN45" s="12" t="s">
        <v>9</v>
      </c>
      <c r="AO45" s="12" t="s">
        <v>9</v>
      </c>
      <c r="AP45" s="59">
        <v>46090</v>
      </c>
      <c r="AQ45" s="60">
        <v>46153</v>
      </c>
      <c r="AR45" s="21"/>
      <c r="AS45" s="21"/>
      <c r="AT45" s="21"/>
      <c r="AU45" s="22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</row>
    <row r="46" spans="3:59" ht="17.25">
      <c r="C46" s="73"/>
      <c r="D46" s="73"/>
      <c r="E46" s="74" t="s">
        <v>78</v>
      </c>
      <c r="F46" s="75" t="s">
        <v>79</v>
      </c>
      <c r="G46" s="76" t="s">
        <v>169</v>
      </c>
      <c r="H46" s="76" t="s">
        <v>170</v>
      </c>
      <c r="I46" s="48"/>
      <c r="J46" s="48"/>
      <c r="K46" s="48"/>
      <c r="L46" s="196" t="s">
        <v>97</v>
      </c>
      <c r="M46" s="35"/>
      <c r="N46" s="207" t="s">
        <v>90</v>
      </c>
      <c r="O46" s="11"/>
      <c r="P46" s="205" t="s">
        <v>100</v>
      </c>
      <c r="Q46" s="12"/>
      <c r="R46" s="205" t="s">
        <v>97</v>
      </c>
      <c r="S46" s="7"/>
      <c r="T46" s="205" t="s">
        <v>109</v>
      </c>
      <c r="U46" s="7"/>
      <c r="V46" s="200" t="s">
        <v>7</v>
      </c>
      <c r="W46" s="206" t="s">
        <v>7</v>
      </c>
      <c r="X46" s="200" t="s">
        <v>7</v>
      </c>
      <c r="Y46" s="200" t="s">
        <v>7</v>
      </c>
      <c r="Z46" s="200" t="s">
        <v>7</v>
      </c>
      <c r="AA46" s="200" t="s">
        <v>5</v>
      </c>
      <c r="AB46" s="200" t="s">
        <v>5</v>
      </c>
      <c r="AC46" s="200" t="s">
        <v>5</v>
      </c>
      <c r="AD46" s="197" t="s">
        <v>5</v>
      </c>
      <c r="AE46" s="202"/>
      <c r="AF46" s="203"/>
      <c r="AG46" s="204"/>
      <c r="AH46" s="200"/>
      <c r="AI46" s="203"/>
      <c r="AJ46" s="209"/>
      <c r="AK46" s="80">
        <f>(AJ46)+20</f>
        <v>20</v>
      </c>
      <c r="AL46" s="81"/>
      <c r="AM46" s="82"/>
      <c r="AN46" s="81"/>
      <c r="AO46" s="81"/>
      <c r="AP46" s="83"/>
      <c r="AQ46" s="84"/>
      <c r="AR46" s="21"/>
      <c r="AS46" s="21"/>
      <c r="AT46" s="21"/>
      <c r="AU46" s="22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</row>
    <row r="47" spans="3:59" ht="17.25">
      <c r="C47" s="73"/>
      <c r="D47" s="73"/>
      <c r="E47" s="74" t="s">
        <v>78</v>
      </c>
      <c r="F47" s="75" t="s">
        <v>79</v>
      </c>
      <c r="G47" s="76" t="s">
        <v>171</v>
      </c>
      <c r="H47" s="76" t="s">
        <v>172</v>
      </c>
      <c r="I47" s="48"/>
      <c r="J47" s="48"/>
      <c r="K47" s="48"/>
      <c r="L47" s="196" t="s">
        <v>97</v>
      </c>
      <c r="M47" s="35"/>
      <c r="N47" s="207" t="s">
        <v>90</v>
      </c>
      <c r="O47" s="11"/>
      <c r="P47" s="205" t="s">
        <v>173</v>
      </c>
      <c r="Q47" s="12"/>
      <c r="R47" s="210" t="s">
        <v>90</v>
      </c>
      <c r="S47" s="7"/>
      <c r="T47" s="205" t="s">
        <v>156</v>
      </c>
      <c r="U47" s="7"/>
      <c r="V47" s="200" t="s">
        <v>7</v>
      </c>
      <c r="W47" s="206" t="s">
        <v>7</v>
      </c>
      <c r="X47" s="200" t="s">
        <v>7</v>
      </c>
      <c r="Y47" s="200" t="s">
        <v>7</v>
      </c>
      <c r="Z47" s="200" t="s">
        <v>7</v>
      </c>
      <c r="AA47" s="200" t="s">
        <v>5</v>
      </c>
      <c r="AB47" s="200" t="s">
        <v>5</v>
      </c>
      <c r="AC47" s="200" t="s">
        <v>5</v>
      </c>
      <c r="AD47" s="197" t="s">
        <v>5</v>
      </c>
      <c r="AE47" s="202"/>
      <c r="AF47" s="203"/>
      <c r="AG47" s="204"/>
      <c r="AH47" s="200"/>
      <c r="AI47" s="203"/>
      <c r="AJ47" s="209"/>
      <c r="AK47" s="80">
        <f>(AJ47)+20</f>
        <v>20</v>
      </c>
      <c r="AL47" s="81"/>
      <c r="AM47" s="82"/>
      <c r="AN47" s="81"/>
      <c r="AO47" s="81"/>
      <c r="AP47" s="83"/>
      <c r="AQ47" s="84"/>
      <c r="AR47" s="21"/>
      <c r="AS47" s="21"/>
      <c r="AT47" s="21"/>
      <c r="AU47" s="22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</row>
    <row r="48" spans="3:59" ht="17.25">
      <c r="C48" s="73"/>
      <c r="D48" s="73"/>
      <c r="E48" s="74" t="s">
        <v>83</v>
      </c>
      <c r="F48" s="75" t="s">
        <v>84</v>
      </c>
      <c r="G48" s="76" t="s">
        <v>174</v>
      </c>
      <c r="H48" s="76" t="s">
        <v>18</v>
      </c>
      <c r="I48" s="48" t="s">
        <v>111</v>
      </c>
      <c r="J48" s="48"/>
      <c r="K48" s="48"/>
      <c r="L48" s="196" t="s">
        <v>97</v>
      </c>
      <c r="M48" s="9"/>
      <c r="N48" s="197" t="s">
        <v>88</v>
      </c>
      <c r="O48" s="9"/>
      <c r="P48" s="205" t="s">
        <v>90</v>
      </c>
      <c r="Q48" s="12"/>
      <c r="R48" s="205" t="s">
        <v>97</v>
      </c>
      <c r="S48" s="5"/>
      <c r="T48" s="199" t="s">
        <v>91</v>
      </c>
      <c r="U48" s="5"/>
      <c r="V48" s="200" t="s">
        <v>7</v>
      </c>
      <c r="W48" s="206" t="s">
        <v>7</v>
      </c>
      <c r="X48" s="200" t="s">
        <v>7</v>
      </c>
      <c r="Y48" s="200" t="s">
        <v>7</v>
      </c>
      <c r="Z48" s="200" t="s">
        <v>7</v>
      </c>
      <c r="AA48" s="200" t="s">
        <v>5</v>
      </c>
      <c r="AB48" s="200" t="s">
        <v>5</v>
      </c>
      <c r="AC48" s="200" t="s">
        <v>5</v>
      </c>
      <c r="AD48" s="197" t="s">
        <v>5</v>
      </c>
      <c r="AE48" s="202"/>
      <c r="AF48" s="203"/>
      <c r="AG48" s="204"/>
      <c r="AH48" s="200"/>
      <c r="AI48" s="203"/>
      <c r="AJ48" s="209"/>
      <c r="AK48" s="80">
        <f>(AJ48)+20</f>
        <v>20</v>
      </c>
      <c r="AL48" s="81"/>
      <c r="AM48" s="82"/>
      <c r="AN48" s="81"/>
      <c r="AO48" s="81"/>
      <c r="AP48" s="83"/>
      <c r="AQ48" s="84"/>
      <c r="AR48" s="21"/>
      <c r="AS48" s="21"/>
      <c r="AT48" s="21"/>
      <c r="AU48" s="22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</row>
    <row r="49" spans="3:59" ht="17.25">
      <c r="C49" s="73"/>
      <c r="D49" s="73"/>
      <c r="E49" s="74" t="s">
        <v>78</v>
      </c>
      <c r="F49" s="75" t="s">
        <v>79</v>
      </c>
      <c r="G49" s="76" t="s">
        <v>175</v>
      </c>
      <c r="H49" s="76" t="s">
        <v>28</v>
      </c>
      <c r="I49" s="48"/>
      <c r="J49" s="48"/>
      <c r="K49" s="48"/>
      <c r="L49" s="196" t="s">
        <v>109</v>
      </c>
      <c r="M49" s="11"/>
      <c r="N49" s="207" t="s">
        <v>90</v>
      </c>
      <c r="O49" s="11"/>
      <c r="P49" s="205" t="s">
        <v>90</v>
      </c>
      <c r="Q49" s="12"/>
      <c r="R49" s="205" t="s">
        <v>156</v>
      </c>
      <c r="S49" s="7"/>
      <c r="T49" s="205" t="s">
        <v>109</v>
      </c>
      <c r="U49" s="7"/>
      <c r="V49" s="200" t="s">
        <v>7</v>
      </c>
      <c r="W49" s="206" t="s">
        <v>7</v>
      </c>
      <c r="X49" s="200" t="s">
        <v>7</v>
      </c>
      <c r="Y49" s="200" t="s">
        <v>7</v>
      </c>
      <c r="Z49" s="200" t="s">
        <v>7</v>
      </c>
      <c r="AA49" s="200" t="s">
        <v>5</v>
      </c>
      <c r="AB49" s="200" t="s">
        <v>5</v>
      </c>
      <c r="AC49" s="200" t="s">
        <v>5</v>
      </c>
      <c r="AD49" s="197" t="s">
        <v>5</v>
      </c>
      <c r="AE49" s="202"/>
      <c r="AF49" s="203"/>
      <c r="AG49" s="204"/>
      <c r="AH49" s="200"/>
      <c r="AI49" s="203"/>
      <c r="AJ49" s="209"/>
      <c r="AK49" s="80">
        <f>(AJ49)+20</f>
        <v>20</v>
      </c>
      <c r="AL49" s="81"/>
      <c r="AM49" s="82"/>
      <c r="AN49" s="81"/>
      <c r="AO49" s="81"/>
      <c r="AP49" s="83"/>
      <c r="AQ49" s="84"/>
      <c r="AR49" s="21"/>
      <c r="AS49" s="21"/>
      <c r="AT49" s="21"/>
      <c r="AU49" s="22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</row>
    <row r="50" spans="3:59" ht="17.25">
      <c r="C50" s="73"/>
      <c r="D50" s="73"/>
      <c r="E50" s="74" t="s">
        <v>83</v>
      </c>
      <c r="F50" s="75" t="s">
        <v>84</v>
      </c>
      <c r="G50" s="76" t="s">
        <v>175</v>
      </c>
      <c r="H50" s="76" t="s">
        <v>17</v>
      </c>
      <c r="I50" s="48" t="s">
        <v>111</v>
      </c>
      <c r="J50" s="48"/>
      <c r="K50" s="48"/>
      <c r="L50" s="196" t="s">
        <v>97</v>
      </c>
      <c r="M50" s="9"/>
      <c r="N50" s="197" t="s">
        <v>88</v>
      </c>
      <c r="O50" s="9"/>
      <c r="P50" s="205" t="s">
        <v>90</v>
      </c>
      <c r="Q50" s="12"/>
      <c r="R50" s="205" t="s">
        <v>97</v>
      </c>
      <c r="S50" s="5"/>
      <c r="T50" s="199" t="s">
        <v>91</v>
      </c>
      <c r="U50" s="5"/>
      <c r="V50" s="200" t="s">
        <v>5</v>
      </c>
      <c r="W50" s="206" t="s">
        <v>5</v>
      </c>
      <c r="X50" s="200" t="s">
        <v>7</v>
      </c>
      <c r="Y50" s="200" t="s">
        <v>7</v>
      </c>
      <c r="Z50" s="200" t="s">
        <v>7</v>
      </c>
      <c r="AA50" s="200" t="s">
        <v>5</v>
      </c>
      <c r="AB50" s="200" t="s">
        <v>5</v>
      </c>
      <c r="AC50" s="200" t="s">
        <v>5</v>
      </c>
      <c r="AD50" s="197" t="s">
        <v>5</v>
      </c>
      <c r="AE50" s="202"/>
      <c r="AF50" s="203"/>
      <c r="AG50" s="204"/>
      <c r="AH50" s="200"/>
      <c r="AI50" s="203"/>
      <c r="AJ50" s="209"/>
      <c r="AK50" s="80">
        <f>(AJ50)+20</f>
        <v>20</v>
      </c>
      <c r="AL50" s="81"/>
      <c r="AM50" s="82"/>
      <c r="AN50" s="81"/>
      <c r="AO50" s="81"/>
      <c r="AP50" s="83"/>
      <c r="AQ50" s="84"/>
      <c r="AR50" s="21"/>
      <c r="AS50" s="21"/>
      <c r="AT50" s="21"/>
      <c r="AU50" s="22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</row>
    <row r="51" spans="3:59" ht="17.25">
      <c r="C51" s="56"/>
      <c r="D51" s="56"/>
      <c r="E51" s="44" t="s">
        <v>78</v>
      </c>
      <c r="F51" s="45" t="s">
        <v>79</v>
      </c>
      <c r="G51" s="46" t="s">
        <v>176</v>
      </c>
      <c r="H51" s="46" t="s">
        <v>177</v>
      </c>
      <c r="I51" s="48" t="s">
        <v>9</v>
      </c>
      <c r="J51" s="48" t="s">
        <v>9</v>
      </c>
      <c r="K51" s="48" t="s">
        <v>9</v>
      </c>
      <c r="L51" s="41" t="s">
        <v>9</v>
      </c>
      <c r="M51" s="35" t="s">
        <v>9</v>
      </c>
      <c r="N51" s="11" t="s">
        <v>9</v>
      </c>
      <c r="O51" s="11" t="s">
        <v>9</v>
      </c>
      <c r="P51" s="12" t="s">
        <v>9</v>
      </c>
      <c r="Q51" s="12" t="s">
        <v>9</v>
      </c>
      <c r="R51" s="12" t="s">
        <v>9</v>
      </c>
      <c r="S51" s="12" t="s">
        <v>9</v>
      </c>
      <c r="T51" s="12" t="s">
        <v>9</v>
      </c>
      <c r="U51" s="12" t="s">
        <v>9</v>
      </c>
      <c r="V51" s="12" t="s">
        <v>9</v>
      </c>
      <c r="W51" s="12" t="s">
        <v>9</v>
      </c>
      <c r="X51" s="12" t="s">
        <v>9</v>
      </c>
      <c r="Y51" s="13" t="s">
        <v>9</v>
      </c>
      <c r="Z51" s="12" t="s">
        <v>9</v>
      </c>
      <c r="AA51" s="12" t="s">
        <v>9</v>
      </c>
      <c r="AB51" s="12" t="s">
        <v>9</v>
      </c>
      <c r="AC51" s="12" t="s">
        <v>9</v>
      </c>
      <c r="AD51" s="12" t="s">
        <v>9</v>
      </c>
      <c r="AE51" s="57" t="s">
        <v>9</v>
      </c>
      <c r="AF51" s="12" t="s">
        <v>9</v>
      </c>
      <c r="AG51" s="53" t="s">
        <v>9</v>
      </c>
      <c r="AH51" s="12" t="s">
        <v>9</v>
      </c>
      <c r="AI51" s="12" t="s">
        <v>9</v>
      </c>
      <c r="AJ51" s="12" t="s">
        <v>9</v>
      </c>
      <c r="AK51" s="12" t="s">
        <v>9</v>
      </c>
      <c r="AL51" s="12" t="s">
        <v>9</v>
      </c>
      <c r="AM51" s="12" t="s">
        <v>9</v>
      </c>
      <c r="AN51" s="12" t="s">
        <v>9</v>
      </c>
      <c r="AO51" s="12" t="s">
        <v>9</v>
      </c>
      <c r="AP51" s="59">
        <v>46139</v>
      </c>
      <c r="AQ51" s="60">
        <v>46027</v>
      </c>
      <c r="AR51" s="21"/>
      <c r="AS51" s="21"/>
      <c r="AT51" s="21"/>
      <c r="AU51" s="22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</row>
    <row r="52" spans="3:59" ht="17.25">
      <c r="C52" s="73"/>
      <c r="D52" s="73"/>
      <c r="E52" s="74" t="s">
        <v>83</v>
      </c>
      <c r="F52" s="75" t="s">
        <v>84</v>
      </c>
      <c r="G52" s="76" t="s">
        <v>178</v>
      </c>
      <c r="H52" s="76" t="s">
        <v>27</v>
      </c>
      <c r="I52" s="48" t="s">
        <v>111</v>
      </c>
      <c r="J52" s="48"/>
      <c r="K52" s="48"/>
      <c r="L52" s="196" t="s">
        <v>97</v>
      </c>
      <c r="M52" s="9"/>
      <c r="N52" s="197" t="s">
        <v>88</v>
      </c>
      <c r="O52" s="9"/>
      <c r="P52" s="205" t="s">
        <v>88</v>
      </c>
      <c r="Q52" s="12"/>
      <c r="R52" s="205" t="s">
        <v>97</v>
      </c>
      <c r="S52" s="5"/>
      <c r="T52" s="199" t="s">
        <v>91</v>
      </c>
      <c r="U52" s="5"/>
      <c r="V52" s="200" t="s">
        <v>7</v>
      </c>
      <c r="W52" s="206" t="s">
        <v>7</v>
      </c>
      <c r="X52" s="200" t="s">
        <v>7</v>
      </c>
      <c r="Y52" s="200" t="s">
        <v>7</v>
      </c>
      <c r="Z52" s="200" t="s">
        <v>7</v>
      </c>
      <c r="AA52" s="200" t="s">
        <v>5</v>
      </c>
      <c r="AB52" s="200" t="s">
        <v>5</v>
      </c>
      <c r="AC52" s="200" t="s">
        <v>5</v>
      </c>
      <c r="AD52" s="197" t="s">
        <v>5</v>
      </c>
      <c r="AE52" s="202"/>
      <c r="AF52" s="203"/>
      <c r="AG52" s="204"/>
      <c r="AH52" s="200"/>
      <c r="AI52" s="203"/>
      <c r="AJ52" s="209"/>
      <c r="AK52" s="80">
        <f>(AJ52)+20</f>
        <v>20</v>
      </c>
      <c r="AL52" s="81"/>
      <c r="AM52" s="82"/>
      <c r="AN52" s="81"/>
      <c r="AO52" s="81"/>
      <c r="AP52" s="83"/>
      <c r="AQ52" s="84"/>
      <c r="AR52" s="21"/>
      <c r="AS52" s="21"/>
      <c r="AT52" s="21"/>
      <c r="AU52" s="22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</row>
    <row r="53" spans="3:59" ht="17.25">
      <c r="C53" s="56"/>
      <c r="D53" s="56"/>
      <c r="E53" s="44" t="s">
        <v>83</v>
      </c>
      <c r="F53" s="45" t="s">
        <v>84</v>
      </c>
      <c r="G53" s="46" t="s">
        <v>179</v>
      </c>
      <c r="H53" s="46" t="s">
        <v>30</v>
      </c>
      <c r="I53" s="42" t="s">
        <v>9</v>
      </c>
      <c r="J53" s="42" t="s">
        <v>9</v>
      </c>
      <c r="K53" s="42" t="s">
        <v>9</v>
      </c>
      <c r="L53" s="42" t="s">
        <v>9</v>
      </c>
      <c r="M53" s="42" t="s">
        <v>9</v>
      </c>
      <c r="N53" s="42" t="s">
        <v>9</v>
      </c>
      <c r="O53" s="42" t="s">
        <v>9</v>
      </c>
      <c r="P53" s="42" t="s">
        <v>9</v>
      </c>
      <c r="Q53" s="42" t="s">
        <v>9</v>
      </c>
      <c r="R53" s="42" t="s">
        <v>9</v>
      </c>
      <c r="S53" s="42" t="s">
        <v>9</v>
      </c>
      <c r="T53" s="42" t="s">
        <v>9</v>
      </c>
      <c r="U53" s="42" t="s">
        <v>9</v>
      </c>
      <c r="V53" s="42" t="s">
        <v>9</v>
      </c>
      <c r="W53" s="42" t="s">
        <v>9</v>
      </c>
      <c r="X53" s="42" t="s">
        <v>9</v>
      </c>
      <c r="Y53" s="42" t="s">
        <v>9</v>
      </c>
      <c r="Z53" s="12" t="s">
        <v>9</v>
      </c>
      <c r="AA53" s="42" t="s">
        <v>9</v>
      </c>
      <c r="AB53" s="42" t="s">
        <v>9</v>
      </c>
      <c r="AC53" s="42" t="s">
        <v>9</v>
      </c>
      <c r="AD53" s="42" t="s">
        <v>9</v>
      </c>
      <c r="AE53" s="72" t="s">
        <v>9</v>
      </c>
      <c r="AF53" s="42" t="s">
        <v>9</v>
      </c>
      <c r="AG53" s="42" t="s">
        <v>9</v>
      </c>
      <c r="AH53" s="42" t="s">
        <v>9</v>
      </c>
      <c r="AI53" s="42" t="s">
        <v>9</v>
      </c>
      <c r="AJ53" s="42" t="s">
        <v>9</v>
      </c>
      <c r="AK53" s="42" t="s">
        <v>9</v>
      </c>
      <c r="AL53" s="42" t="s">
        <v>9</v>
      </c>
      <c r="AM53" s="42" t="s">
        <v>9</v>
      </c>
      <c r="AN53" s="42" t="s">
        <v>9</v>
      </c>
      <c r="AO53" s="42" t="s">
        <v>9</v>
      </c>
      <c r="AP53" s="62" t="s">
        <v>180</v>
      </c>
      <c r="AQ53" s="63"/>
      <c r="AR53" s="21"/>
      <c r="AS53" s="21"/>
      <c r="AT53" s="21"/>
      <c r="AU53" s="22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</row>
    <row r="54" spans="3:59" ht="17.25">
      <c r="C54" s="88">
        <v>46119</v>
      </c>
      <c r="D54" s="73" t="s">
        <v>181</v>
      </c>
      <c r="E54" s="74" t="s">
        <v>78</v>
      </c>
      <c r="F54" s="75" t="s">
        <v>79</v>
      </c>
      <c r="G54" s="213" t="s">
        <v>157</v>
      </c>
      <c r="H54" s="76" t="s">
        <v>182</v>
      </c>
      <c r="I54" s="48"/>
      <c r="J54" s="48"/>
      <c r="K54" s="48"/>
      <c r="L54" s="196" t="s">
        <v>160</v>
      </c>
      <c r="M54" s="43" t="s">
        <v>183</v>
      </c>
      <c r="N54" s="214" t="s">
        <v>184</v>
      </c>
      <c r="O54" s="43" t="s">
        <v>183</v>
      </c>
      <c r="P54" s="214" t="s">
        <v>184</v>
      </c>
      <c r="Q54" s="27"/>
      <c r="R54" s="215" t="s">
        <v>109</v>
      </c>
      <c r="S54" s="28"/>
      <c r="T54" s="205" t="s">
        <v>109</v>
      </c>
      <c r="U54" s="28"/>
      <c r="V54" s="214" t="s">
        <v>184</v>
      </c>
      <c r="W54" s="214" t="s">
        <v>184</v>
      </c>
      <c r="X54" s="214" t="s">
        <v>184</v>
      </c>
      <c r="Y54" s="214" t="s">
        <v>184</v>
      </c>
      <c r="Z54" s="214" t="s">
        <v>184</v>
      </c>
      <c r="AA54" s="200" t="s">
        <v>5</v>
      </c>
      <c r="AB54" s="216" t="s">
        <v>5</v>
      </c>
      <c r="AC54" s="216" t="s">
        <v>5</v>
      </c>
      <c r="AD54" s="214" t="s">
        <v>5</v>
      </c>
      <c r="AE54" s="217">
        <v>46119</v>
      </c>
      <c r="AF54" s="218">
        <v>46119</v>
      </c>
      <c r="AG54" s="219">
        <v>46120</v>
      </c>
      <c r="AH54" s="220" t="s">
        <v>24</v>
      </c>
      <c r="AI54" s="221" t="s">
        <v>185</v>
      </c>
      <c r="AJ54" s="222">
        <v>46121</v>
      </c>
      <c r="AK54" s="80">
        <v>46360</v>
      </c>
      <c r="AL54" s="95" t="s">
        <v>186</v>
      </c>
      <c r="AM54" s="96" t="s">
        <v>24</v>
      </c>
      <c r="AN54" s="95" t="s">
        <v>24</v>
      </c>
      <c r="AO54" s="95" t="s">
        <v>24</v>
      </c>
      <c r="AP54" s="97"/>
      <c r="AQ54" s="98"/>
      <c r="AR54" s="21"/>
      <c r="AS54" s="21"/>
      <c r="AT54" s="21"/>
      <c r="AU54" s="22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</row>
    <row r="55" spans="3:59" ht="18.75" customHeight="1">
      <c r="C55" s="89">
        <v>46146</v>
      </c>
      <c r="D55" s="90">
        <v>0.16666666666666666</v>
      </c>
      <c r="E55" s="74" t="s">
        <v>78</v>
      </c>
      <c r="F55" s="75" t="s">
        <v>79</v>
      </c>
      <c r="G55" s="213" t="s">
        <v>187</v>
      </c>
      <c r="H55" s="91" t="s">
        <v>188</v>
      </c>
      <c r="I55" s="51"/>
      <c r="J55" s="51"/>
      <c r="K55" s="51"/>
      <c r="L55" s="196" t="s">
        <v>97</v>
      </c>
      <c r="M55" s="43" t="s">
        <v>183</v>
      </c>
      <c r="N55" s="214" t="s">
        <v>184</v>
      </c>
      <c r="O55" s="43" t="s">
        <v>183</v>
      </c>
      <c r="P55" s="214" t="s">
        <v>184</v>
      </c>
      <c r="Q55" s="52"/>
      <c r="R55" s="214" t="s">
        <v>184</v>
      </c>
      <c r="S55" s="28"/>
      <c r="T55" s="205" t="s">
        <v>109</v>
      </c>
      <c r="U55" s="28"/>
      <c r="V55" s="214" t="s">
        <v>184</v>
      </c>
      <c r="W55" s="214" t="s">
        <v>184</v>
      </c>
      <c r="X55" s="214" t="s">
        <v>184</v>
      </c>
      <c r="Y55" s="214" t="s">
        <v>184</v>
      </c>
      <c r="Z55" s="216" t="s">
        <v>5</v>
      </c>
      <c r="AA55" s="200" t="s">
        <v>5</v>
      </c>
      <c r="AB55" s="216" t="s">
        <v>5</v>
      </c>
      <c r="AC55" s="216" t="s">
        <v>5</v>
      </c>
      <c r="AD55" s="214" t="s">
        <v>5</v>
      </c>
      <c r="AE55" s="223">
        <v>46146</v>
      </c>
      <c r="AF55" s="224">
        <v>46146</v>
      </c>
      <c r="AG55" s="224">
        <v>46146</v>
      </c>
      <c r="AH55" s="216" t="s">
        <v>24</v>
      </c>
      <c r="AI55" s="215" t="s">
        <v>189</v>
      </c>
      <c r="AJ55" s="225">
        <v>46239</v>
      </c>
      <c r="AK55" s="99">
        <v>46331</v>
      </c>
      <c r="AL55" s="95" t="s">
        <v>186</v>
      </c>
      <c r="AM55" s="100" t="s">
        <v>189</v>
      </c>
      <c r="AN55" s="101" t="s">
        <v>24</v>
      </c>
      <c r="AO55" s="101" t="s">
        <v>24</v>
      </c>
      <c r="AP55" s="102"/>
      <c r="AQ55" s="102"/>
      <c r="AR55" s="21"/>
      <c r="AS55" s="21"/>
      <c r="AT55" s="21"/>
      <c r="AU55" s="22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</row>
    <row r="56" spans="3:59" ht="18.75" customHeight="1">
      <c r="C56" s="89">
        <v>46174</v>
      </c>
      <c r="D56" s="90">
        <v>0.16666666666666666</v>
      </c>
      <c r="E56" s="92" t="s">
        <v>83</v>
      </c>
      <c r="F56" s="75" t="s">
        <v>84</v>
      </c>
      <c r="G56" s="213" t="s">
        <v>187</v>
      </c>
      <c r="H56" s="93" t="s">
        <v>190</v>
      </c>
      <c r="I56" s="51"/>
      <c r="J56" s="51"/>
      <c r="K56" s="51"/>
      <c r="L56" s="196" t="s">
        <v>87</v>
      </c>
      <c r="M56" s="26" t="s">
        <v>184</v>
      </c>
      <c r="N56" s="214" t="s">
        <v>184</v>
      </c>
      <c r="O56" s="26" t="s">
        <v>184</v>
      </c>
      <c r="P56" s="214" t="s">
        <v>184</v>
      </c>
      <c r="Q56" s="26" t="s">
        <v>184</v>
      </c>
      <c r="R56" s="214" t="s">
        <v>184</v>
      </c>
      <c r="S56" s="26" t="s">
        <v>184</v>
      </c>
      <c r="T56" s="214" t="s">
        <v>184</v>
      </c>
      <c r="U56" s="28"/>
      <c r="V56" s="214" t="s">
        <v>184</v>
      </c>
      <c r="W56" s="214" t="s">
        <v>184</v>
      </c>
      <c r="X56" s="214" t="s">
        <v>184</v>
      </c>
      <c r="Y56" s="214" t="s">
        <v>184</v>
      </c>
      <c r="Z56" s="214" t="s">
        <v>184</v>
      </c>
      <c r="AA56" s="200" t="s">
        <v>5</v>
      </c>
      <c r="AB56" s="216" t="s">
        <v>5</v>
      </c>
      <c r="AC56" s="216"/>
      <c r="AD56" s="214"/>
      <c r="AE56" s="223"/>
      <c r="AF56" s="224"/>
      <c r="AG56" s="226">
        <v>46175</v>
      </c>
      <c r="AH56" s="226">
        <v>46175</v>
      </c>
      <c r="AI56" s="215" t="s">
        <v>191</v>
      </c>
      <c r="AJ56" s="225">
        <v>46175</v>
      </c>
      <c r="AK56" s="99">
        <f>Tabela2[[#This Row],[DATA DE INICIO DAS TRILHAS]]+20</f>
        <v>46195</v>
      </c>
      <c r="AL56" s="95" t="s">
        <v>186</v>
      </c>
      <c r="AM56" s="100" t="s">
        <v>24</v>
      </c>
      <c r="AN56" s="101"/>
      <c r="AO56" s="101"/>
      <c r="AP56" s="102"/>
      <c r="AQ56" s="102"/>
      <c r="AR56" s="21"/>
      <c r="AS56" s="21"/>
      <c r="AT56" s="21"/>
      <c r="AU56" s="22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</row>
    <row r="57" spans="3:59" ht="18.75" customHeight="1">
      <c r="C57" s="89">
        <v>46188</v>
      </c>
      <c r="D57" s="90">
        <v>0.16666666666666666</v>
      </c>
      <c r="E57" s="92" t="s">
        <v>83</v>
      </c>
      <c r="F57" s="94" t="s">
        <v>84</v>
      </c>
      <c r="G57" s="213" t="s">
        <v>192</v>
      </c>
      <c r="H57" s="213" t="s">
        <v>193</v>
      </c>
      <c r="I57"/>
      <c r="J57" s="51"/>
      <c r="K57" s="51"/>
      <c r="L57" s="196" t="s">
        <v>94</v>
      </c>
      <c r="M57" s="26" t="s">
        <v>184</v>
      </c>
      <c r="N57" s="214" t="s">
        <v>184</v>
      </c>
      <c r="O57" s="26" t="s">
        <v>184</v>
      </c>
      <c r="P57" s="214" t="s">
        <v>184</v>
      </c>
      <c r="Q57" s="26" t="s">
        <v>184</v>
      </c>
      <c r="R57" s="214" t="s">
        <v>184</v>
      </c>
      <c r="S57" s="26" t="s">
        <v>184</v>
      </c>
      <c r="T57" s="214" t="s">
        <v>184</v>
      </c>
      <c r="U57" s="28"/>
      <c r="V57" s="214" t="s">
        <v>184</v>
      </c>
      <c r="W57" s="214" t="s">
        <v>184</v>
      </c>
      <c r="X57" s="214" t="s">
        <v>184</v>
      </c>
      <c r="Y57" s="214" t="s">
        <v>184</v>
      </c>
      <c r="Z57" s="214" t="s">
        <v>184</v>
      </c>
      <c r="AA57" s="200" t="s">
        <v>5</v>
      </c>
      <c r="AB57" s="216"/>
      <c r="AC57" s="216"/>
      <c r="AD57" s="214"/>
      <c r="AE57" s="223">
        <v>46188</v>
      </c>
      <c r="AF57" s="223">
        <v>46189</v>
      </c>
      <c r="AG57" s="224">
        <v>46189</v>
      </c>
      <c r="AH57" s="226">
        <v>46189</v>
      </c>
      <c r="AI57" s="215" t="s">
        <v>191</v>
      </c>
      <c r="AJ57" s="225"/>
      <c r="AK57" s="99"/>
      <c r="AL57" s="101"/>
      <c r="AM57" s="100"/>
      <c r="AN57" s="101"/>
      <c r="AO57" s="101"/>
      <c r="AP57" s="102"/>
      <c r="AQ57" s="102"/>
      <c r="AR57" s="21"/>
      <c r="AS57" s="21"/>
      <c r="AT57" s="21"/>
      <c r="AU57" s="22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</row>
    <row r="58" spans="3:59">
      <c r="AL58" s="21"/>
      <c r="AM58" s="24"/>
      <c r="AN58" s="21"/>
      <c r="AO58" s="21"/>
      <c r="AP58" s="64"/>
      <c r="AQ58" s="64"/>
      <c r="AR58" s="21"/>
      <c r="AS58" s="21"/>
      <c r="AT58" s="21"/>
      <c r="AU58" s="22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</row>
    <row r="59" spans="3:59">
      <c r="AL59" s="21"/>
      <c r="AM59" s="24"/>
      <c r="AN59" s="21"/>
      <c r="AO59" s="21"/>
      <c r="AP59" s="64"/>
      <c r="AQ59" s="64"/>
      <c r="AR59" s="21"/>
      <c r="AS59" s="21"/>
      <c r="AT59" s="21"/>
      <c r="AU59" s="22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</row>
    <row r="60" spans="3:59">
      <c r="AL60" s="21"/>
      <c r="AM60" s="24"/>
      <c r="AN60" s="21"/>
      <c r="AO60" s="21"/>
      <c r="AP60" s="64"/>
      <c r="AQ60" s="64"/>
      <c r="AR60" s="21"/>
      <c r="AS60" s="21"/>
      <c r="AT60" s="21"/>
      <c r="AU60" s="22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</row>
    <row r="61" spans="3:59">
      <c r="AL61" s="21"/>
      <c r="AM61" s="24"/>
      <c r="AN61" s="21"/>
      <c r="AO61" s="21"/>
      <c r="AP61" s="64"/>
      <c r="AQ61" s="64"/>
      <c r="AR61" s="21"/>
      <c r="AS61" s="21"/>
      <c r="AT61" s="21"/>
      <c r="AU61" s="22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</row>
    <row r="62" spans="3:59">
      <c r="AL62" s="21"/>
      <c r="AM62" s="24"/>
      <c r="AN62" s="21"/>
      <c r="AO62" s="21"/>
      <c r="AP62" s="64"/>
      <c r="AQ62" s="64"/>
      <c r="AR62" s="21"/>
      <c r="AS62" s="21"/>
      <c r="AT62" s="21"/>
      <c r="AU62" s="22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</row>
    <row r="63" spans="3:59">
      <c r="AL63" s="21"/>
      <c r="AM63" s="24"/>
      <c r="AN63" s="21"/>
      <c r="AO63" s="21"/>
      <c r="AP63" s="64"/>
      <c r="AQ63" s="64"/>
      <c r="AR63" s="21"/>
      <c r="AS63" s="21"/>
      <c r="AT63" s="21"/>
      <c r="AU63" s="22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</row>
    <row r="64" spans="3:59">
      <c r="AL64" s="21"/>
      <c r="AM64" s="24"/>
      <c r="AN64" s="21"/>
      <c r="AO64" s="21"/>
      <c r="AP64" s="64"/>
      <c r="AQ64" s="64"/>
      <c r="AR64" s="21"/>
      <c r="AS64" s="21"/>
      <c r="AT64" s="21"/>
      <c r="AU64" s="22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</row>
    <row r="65" spans="38:59">
      <c r="AL65" s="21"/>
      <c r="AM65" s="24"/>
      <c r="AN65" s="21"/>
      <c r="AO65" s="21"/>
      <c r="AP65" s="64"/>
      <c r="AQ65" s="64"/>
      <c r="AR65" s="21"/>
      <c r="AS65" s="21"/>
      <c r="AT65" s="21"/>
      <c r="AU65" s="22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</row>
    <row r="66" spans="38:59">
      <c r="AL66" s="21"/>
      <c r="AM66" s="24"/>
      <c r="AN66" s="21"/>
      <c r="AO66" s="21"/>
      <c r="AP66" s="64"/>
      <c r="AQ66" s="64"/>
      <c r="AR66" s="21"/>
      <c r="AS66" s="21"/>
      <c r="AT66" s="21"/>
      <c r="AU66" s="22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</row>
    <row r="67" spans="38:59">
      <c r="AL67" s="21"/>
      <c r="AM67" s="24"/>
      <c r="AN67" s="21"/>
      <c r="AO67" s="21"/>
      <c r="AP67" s="64"/>
      <c r="AQ67" s="64"/>
      <c r="AR67" s="21"/>
      <c r="AS67" s="21"/>
      <c r="AT67" s="21"/>
      <c r="AU67" s="22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</row>
    <row r="68" spans="38:59">
      <c r="AL68" s="21"/>
      <c r="AM68" s="24"/>
      <c r="AN68" s="21"/>
      <c r="AO68" s="21"/>
      <c r="AP68" s="64"/>
      <c r="AQ68" s="64"/>
      <c r="AR68" s="21"/>
      <c r="AS68" s="21"/>
      <c r="AT68" s="21"/>
      <c r="AU68" s="22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</row>
    <row r="69" spans="38:59">
      <c r="AL69" s="21"/>
      <c r="AM69" s="24"/>
      <c r="AN69" s="21"/>
      <c r="AO69" s="21"/>
      <c r="AP69" s="64"/>
      <c r="AQ69" s="64"/>
      <c r="AR69" s="21"/>
      <c r="AS69" s="21"/>
      <c r="AT69" s="21"/>
      <c r="AU69" s="22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</row>
    <row r="70" spans="38:59">
      <c r="AL70" s="21"/>
      <c r="AM70" s="24"/>
      <c r="AN70" s="21"/>
      <c r="AO70" s="21"/>
      <c r="AP70" s="64"/>
      <c r="AQ70" s="64"/>
      <c r="AR70" s="21"/>
      <c r="AS70" s="21"/>
      <c r="AT70" s="21"/>
      <c r="AU70" s="22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</row>
    <row r="71" spans="38:59">
      <c r="AL71" s="21"/>
      <c r="AM71" s="24"/>
      <c r="AN71" s="21"/>
      <c r="AO71" s="21"/>
      <c r="AP71" s="64"/>
      <c r="AQ71" s="64"/>
      <c r="AR71" s="21"/>
      <c r="AS71" s="21"/>
      <c r="AT71" s="21"/>
      <c r="AU71" s="22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</row>
    <row r="72" spans="38:59">
      <c r="AL72" s="21"/>
      <c r="AM72" s="24"/>
      <c r="AN72" s="21"/>
      <c r="AO72" s="21"/>
      <c r="AP72" s="64"/>
      <c r="AQ72" s="64"/>
      <c r="AR72" s="21"/>
      <c r="AS72" s="21"/>
      <c r="AT72" s="21"/>
      <c r="AU72" s="22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</row>
    <row r="73" spans="38:59">
      <c r="AL73" s="21"/>
      <c r="AM73" s="24"/>
      <c r="AN73" s="21"/>
      <c r="AO73" s="21"/>
      <c r="AP73" s="64"/>
      <c r="AQ73" s="64"/>
      <c r="AR73" s="21"/>
      <c r="AS73" s="21"/>
      <c r="AT73" s="21"/>
      <c r="AU73" s="22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</row>
    <row r="74" spans="38:59">
      <c r="AL74" s="21"/>
      <c r="AM74" s="24"/>
      <c r="AN74" s="21"/>
      <c r="AO74" s="21"/>
      <c r="AP74" s="64"/>
      <c r="AQ74" s="64"/>
      <c r="AR74" s="21"/>
      <c r="AS74" s="21"/>
      <c r="AT74" s="21"/>
      <c r="AU74" s="22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</row>
    <row r="75" spans="38:59">
      <c r="AL75" s="21"/>
      <c r="AM75" s="24"/>
      <c r="AN75" s="21"/>
      <c r="AO75" s="21"/>
      <c r="AP75" s="64"/>
      <c r="AQ75" s="64"/>
      <c r="AR75" s="21"/>
      <c r="AS75" s="21"/>
      <c r="AT75" s="21"/>
      <c r="AU75" s="22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</row>
    <row r="76" spans="38:59">
      <c r="AL76" s="21"/>
      <c r="AM76" s="24"/>
      <c r="AN76" s="21"/>
      <c r="AO76" s="21"/>
      <c r="AP76" s="64"/>
      <c r="AQ76" s="64"/>
      <c r="AR76" s="21"/>
      <c r="AS76" s="21"/>
      <c r="AT76" s="21"/>
      <c r="AU76" s="22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</row>
    <row r="77" spans="38:59">
      <c r="AL77" s="21"/>
      <c r="AM77" s="24"/>
      <c r="AN77" s="21"/>
      <c r="AO77" s="21"/>
      <c r="AP77" s="64"/>
      <c r="AQ77" s="64"/>
      <c r="AR77" s="21"/>
      <c r="AS77" s="21"/>
      <c r="AT77" s="21"/>
      <c r="AU77" s="22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</row>
    <row r="78" spans="38:59">
      <c r="AL78" s="21"/>
      <c r="AM78" s="24"/>
      <c r="AN78" s="21"/>
      <c r="AO78" s="21"/>
      <c r="AP78" s="64"/>
      <c r="AQ78" s="64"/>
      <c r="AR78" s="21"/>
      <c r="AS78" s="21"/>
      <c r="AT78" s="21"/>
      <c r="AU78" s="22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</row>
    <row r="79" spans="38:59">
      <c r="AL79" s="21"/>
      <c r="AM79" s="24"/>
      <c r="AN79" s="21"/>
      <c r="AO79" s="21"/>
      <c r="AP79" s="64"/>
      <c r="AQ79" s="64"/>
      <c r="AR79" s="21"/>
      <c r="AS79" s="21"/>
      <c r="AT79" s="21"/>
      <c r="AU79" s="22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</row>
    <row r="80" spans="38:59">
      <c r="AL80" s="21"/>
      <c r="AM80" s="24"/>
      <c r="AN80" s="21"/>
      <c r="AO80" s="21"/>
      <c r="AP80" s="64"/>
      <c r="AQ80" s="64"/>
      <c r="AR80" s="21"/>
      <c r="AS80" s="21"/>
      <c r="AT80" s="21"/>
      <c r="AU80" s="22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</row>
    <row r="81" spans="38:59">
      <c r="AL81" s="21"/>
      <c r="AM81" s="24"/>
      <c r="AN81" s="21"/>
      <c r="AO81" s="21"/>
      <c r="AP81" s="64"/>
      <c r="AQ81" s="64"/>
      <c r="AR81" s="21"/>
      <c r="AS81" s="21"/>
      <c r="AT81" s="21"/>
      <c r="AU81" s="22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</row>
    <row r="82" spans="38:59">
      <c r="AL82" s="21"/>
      <c r="AM82" s="24"/>
      <c r="AN82" s="21"/>
      <c r="AO82" s="21"/>
      <c r="AP82" s="64"/>
      <c r="AQ82" s="64"/>
      <c r="AR82" s="21"/>
      <c r="AS82" s="21"/>
      <c r="AT82" s="21"/>
      <c r="AU82" s="22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</row>
    <row r="83" spans="38:59">
      <c r="AL83" s="21"/>
      <c r="AM83" s="24"/>
      <c r="AN83" s="21"/>
      <c r="AO83" s="21"/>
      <c r="AP83" s="64"/>
      <c r="AQ83" s="64"/>
      <c r="AR83" s="21"/>
      <c r="AS83" s="21"/>
      <c r="AT83" s="21"/>
      <c r="AU83" s="22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</row>
    <row r="84" spans="38:59">
      <c r="AL84" s="21"/>
      <c r="AM84" s="24"/>
      <c r="AN84" s="21"/>
      <c r="AO84" s="21"/>
      <c r="AP84" s="64"/>
      <c r="AQ84" s="64"/>
      <c r="AR84" s="21"/>
      <c r="AS84" s="21"/>
      <c r="AT84" s="21"/>
      <c r="AU84" s="22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</row>
    <row r="85" spans="38:59">
      <c r="AL85" s="21"/>
      <c r="AM85" s="24"/>
      <c r="AN85" s="21"/>
      <c r="AO85" s="21"/>
      <c r="AP85" s="64"/>
      <c r="AQ85" s="64"/>
      <c r="AR85" s="21"/>
      <c r="AS85" s="21"/>
      <c r="AT85" s="21"/>
      <c r="AU85" s="22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</row>
    <row r="86" spans="38:59">
      <c r="AL86" s="21"/>
      <c r="AM86" s="24"/>
      <c r="AN86" s="21"/>
      <c r="AO86" s="21"/>
      <c r="AP86" s="64"/>
      <c r="AQ86" s="64"/>
      <c r="AR86" s="21"/>
      <c r="AS86" s="21"/>
      <c r="AT86" s="21"/>
      <c r="AU86" s="22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</row>
    <row r="87" spans="38:59">
      <c r="AL87" s="21"/>
      <c r="AM87" s="24"/>
      <c r="AN87" s="21"/>
      <c r="AO87" s="21"/>
      <c r="AP87" s="64"/>
      <c r="AQ87" s="64"/>
      <c r="AR87" s="21"/>
      <c r="AS87" s="21"/>
      <c r="AT87" s="21"/>
      <c r="AU87" s="22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</row>
    <row r="88" spans="38:59">
      <c r="AL88" s="21"/>
      <c r="AM88" s="24"/>
      <c r="AN88" s="21"/>
      <c r="AO88" s="21"/>
      <c r="AP88" s="64"/>
      <c r="AQ88" s="64"/>
      <c r="AR88" s="21"/>
      <c r="AS88" s="21"/>
      <c r="AT88" s="21"/>
      <c r="AU88" s="22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</row>
    <row r="89" spans="38:59">
      <c r="AL89" s="21"/>
      <c r="AM89" s="24"/>
      <c r="AN89" s="21"/>
      <c r="AO89" s="21"/>
      <c r="AP89" s="64"/>
      <c r="AQ89" s="64"/>
      <c r="AR89" s="21"/>
      <c r="AS89" s="21"/>
      <c r="AT89" s="21"/>
      <c r="AU89" s="22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</row>
    <row r="90" spans="38:59">
      <c r="AL90" s="21"/>
      <c r="AM90" s="24"/>
      <c r="AN90" s="21"/>
      <c r="AO90" s="21"/>
      <c r="AP90" s="64"/>
      <c r="AQ90" s="64"/>
      <c r="AR90" s="21"/>
      <c r="AS90" s="21"/>
      <c r="AT90" s="21"/>
      <c r="AU90" s="22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</row>
    <row r="91" spans="38:59">
      <c r="AL91" s="21"/>
      <c r="AM91" s="24"/>
      <c r="AN91" s="21"/>
      <c r="AO91" s="21"/>
      <c r="AP91" s="64"/>
      <c r="AQ91" s="64"/>
      <c r="AR91" s="21"/>
      <c r="AS91" s="21"/>
      <c r="AT91" s="21"/>
      <c r="AU91" s="22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</row>
    <row r="92" spans="38:59">
      <c r="AL92" s="21"/>
      <c r="AM92" s="24"/>
      <c r="AN92" s="21"/>
      <c r="AO92" s="21"/>
      <c r="AP92" s="64"/>
      <c r="AQ92" s="64"/>
      <c r="AR92" s="21"/>
      <c r="AS92" s="21"/>
      <c r="AT92" s="21"/>
      <c r="AU92" s="22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</row>
    <row r="93" spans="38:59">
      <c r="AL93" s="21"/>
      <c r="AM93" s="24"/>
      <c r="AN93" s="21"/>
      <c r="AO93" s="21"/>
      <c r="AP93" s="64"/>
      <c r="AQ93" s="64"/>
      <c r="AR93" s="21"/>
      <c r="AS93" s="21"/>
      <c r="AT93" s="21"/>
      <c r="AU93" s="22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</row>
    <row r="94" spans="38:59">
      <c r="AL94" s="21"/>
      <c r="AM94" s="24"/>
      <c r="AN94" s="21"/>
      <c r="AO94" s="21"/>
      <c r="AP94" s="64"/>
      <c r="AQ94" s="64"/>
      <c r="AR94" s="21"/>
      <c r="AS94" s="21"/>
      <c r="AT94" s="21"/>
      <c r="AU94" s="22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</row>
    <row r="95" spans="38:59">
      <c r="AL95" s="21"/>
      <c r="AM95" s="24"/>
      <c r="AN95" s="21"/>
      <c r="AO95" s="21"/>
      <c r="AP95" s="64"/>
      <c r="AQ95" s="64"/>
      <c r="AR95" s="21"/>
      <c r="AS95" s="21"/>
      <c r="AT95" s="21"/>
      <c r="AU95" s="22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</row>
    <row r="96" spans="38:59">
      <c r="AL96" s="21"/>
      <c r="AM96" s="24"/>
      <c r="AN96" s="21"/>
      <c r="AO96" s="21"/>
      <c r="AP96" s="64"/>
      <c r="AQ96" s="64"/>
      <c r="AR96" s="21"/>
      <c r="AS96" s="21"/>
      <c r="AT96" s="21"/>
      <c r="AU96" s="22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</row>
    <row r="97" spans="38:59">
      <c r="AL97" s="21"/>
      <c r="AM97" s="24"/>
      <c r="AN97" s="21"/>
      <c r="AO97" s="21"/>
      <c r="AP97" s="64"/>
      <c r="AQ97" s="64"/>
      <c r="AR97" s="21"/>
      <c r="AS97" s="21"/>
      <c r="AT97" s="21"/>
      <c r="AU97" s="22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</row>
    <row r="98" spans="38:59">
      <c r="AL98" s="21"/>
      <c r="AM98" s="24"/>
      <c r="AN98" s="21"/>
      <c r="AO98" s="21"/>
      <c r="AP98" s="64"/>
      <c r="AQ98" s="64"/>
      <c r="AR98" s="21"/>
      <c r="AS98" s="21"/>
      <c r="AT98" s="21"/>
      <c r="AU98" s="22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</row>
    <row r="99" spans="38:59">
      <c r="AL99" s="21"/>
      <c r="AM99" s="24"/>
      <c r="AN99" s="21"/>
      <c r="AO99" s="21"/>
      <c r="AP99" s="64"/>
      <c r="AQ99" s="64"/>
      <c r="AR99" s="21"/>
      <c r="AS99" s="21"/>
      <c r="AT99" s="21"/>
      <c r="AU99" s="22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</row>
    <row r="100" spans="38:59">
      <c r="AL100" s="21"/>
      <c r="AM100" s="24"/>
      <c r="AN100" s="21"/>
      <c r="AO100" s="21"/>
      <c r="AP100" s="64"/>
      <c r="AQ100" s="64"/>
      <c r="AR100" s="21"/>
      <c r="AS100" s="21"/>
      <c r="AT100" s="21"/>
      <c r="AU100" s="22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</row>
    <row r="101" spans="38:59">
      <c r="AL101" s="21"/>
      <c r="AM101" s="24"/>
      <c r="AN101" s="21"/>
      <c r="AO101" s="21"/>
      <c r="AP101" s="64"/>
      <c r="AQ101" s="64"/>
      <c r="AR101" s="21"/>
      <c r="AS101" s="21"/>
      <c r="AT101" s="21"/>
      <c r="AU101" s="22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</row>
    <row r="102" spans="38:59">
      <c r="AL102" s="21"/>
      <c r="AM102" s="24"/>
      <c r="AN102" s="21"/>
      <c r="AO102" s="21"/>
      <c r="AP102" s="64"/>
      <c r="AQ102" s="64"/>
      <c r="AR102" s="21"/>
      <c r="AS102" s="21"/>
      <c r="AT102" s="21"/>
      <c r="AU102" s="22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</row>
    <row r="103" spans="38:59">
      <c r="AL103" s="21"/>
      <c r="AM103" s="24"/>
      <c r="AN103" s="21"/>
      <c r="AO103" s="21"/>
      <c r="AP103" s="64"/>
      <c r="AQ103" s="64"/>
      <c r="AR103" s="21"/>
      <c r="AS103" s="21"/>
      <c r="AT103" s="21"/>
      <c r="AU103" s="22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</row>
    <row r="104" spans="38:59">
      <c r="AL104" s="21"/>
      <c r="AM104" s="24"/>
      <c r="AN104" s="21"/>
      <c r="AO104" s="21"/>
      <c r="AP104" s="64"/>
      <c r="AQ104" s="64"/>
      <c r="AR104" s="21"/>
      <c r="AS104" s="21"/>
      <c r="AT104" s="21"/>
      <c r="AU104" s="22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</row>
    <row r="105" spans="38:59">
      <c r="AL105" s="21"/>
      <c r="AM105" s="24"/>
      <c r="AN105" s="21"/>
      <c r="AO105" s="21"/>
      <c r="AP105" s="64"/>
      <c r="AQ105" s="64"/>
      <c r="AR105" s="21"/>
      <c r="AS105" s="21"/>
      <c r="AT105" s="21"/>
      <c r="AU105" s="22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</row>
    <row r="106" spans="38:59">
      <c r="AL106" s="21"/>
      <c r="AM106" s="24"/>
      <c r="AN106" s="21"/>
      <c r="AO106" s="21"/>
      <c r="AP106" s="64"/>
      <c r="AQ106" s="64"/>
      <c r="AR106" s="21"/>
      <c r="AS106" s="21"/>
      <c r="AT106" s="21"/>
      <c r="AU106" s="22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</row>
    <row r="107" spans="38:59">
      <c r="AL107" s="21"/>
      <c r="AM107" s="24"/>
      <c r="AN107" s="21"/>
      <c r="AO107" s="21"/>
      <c r="AP107" s="64"/>
      <c r="AQ107" s="64"/>
      <c r="AR107" s="21"/>
      <c r="AS107" s="21"/>
      <c r="AT107" s="21"/>
      <c r="AU107" s="22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</row>
    <row r="108" spans="38:59">
      <c r="AL108" s="21"/>
      <c r="AM108" s="24"/>
      <c r="AN108" s="21"/>
      <c r="AO108" s="21"/>
      <c r="AP108" s="64"/>
      <c r="AQ108" s="64"/>
      <c r="AR108" s="21"/>
      <c r="AS108" s="21"/>
      <c r="AT108" s="21"/>
      <c r="AU108" s="22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</row>
    <row r="109" spans="38:59">
      <c r="AL109" s="21"/>
      <c r="AM109" s="24"/>
      <c r="AN109" s="21"/>
      <c r="AO109" s="21"/>
      <c r="AP109" s="64"/>
      <c r="AQ109" s="64"/>
      <c r="AR109" s="21"/>
      <c r="AS109" s="21"/>
      <c r="AT109" s="21"/>
      <c r="AU109" s="22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</row>
    <row r="110" spans="38:59">
      <c r="AL110" s="21"/>
      <c r="AM110" s="24"/>
      <c r="AN110" s="21"/>
      <c r="AO110" s="21"/>
      <c r="AP110" s="64"/>
      <c r="AQ110" s="64"/>
      <c r="AR110" s="21"/>
      <c r="AS110" s="21"/>
      <c r="AT110" s="21"/>
      <c r="AU110" s="22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</row>
    <row r="111" spans="38:59">
      <c r="AL111" s="21"/>
      <c r="AM111" s="24"/>
      <c r="AN111" s="21"/>
      <c r="AO111" s="21"/>
      <c r="AP111" s="64"/>
      <c r="AQ111" s="64"/>
      <c r="AR111" s="21"/>
      <c r="AS111" s="21"/>
      <c r="AT111" s="21"/>
      <c r="AU111" s="22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</row>
    <row r="112" spans="38:59">
      <c r="AL112" s="21"/>
      <c r="AM112" s="24"/>
      <c r="AN112" s="21"/>
      <c r="AO112" s="21"/>
      <c r="AP112" s="64"/>
      <c r="AQ112" s="64"/>
      <c r="AR112" s="21"/>
      <c r="AS112" s="21"/>
      <c r="AT112" s="21"/>
      <c r="AU112" s="22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</row>
    <row r="113" spans="38:59">
      <c r="AL113" s="21"/>
      <c r="AM113" s="24"/>
      <c r="AN113" s="21"/>
      <c r="AO113" s="21"/>
      <c r="AP113" s="64"/>
      <c r="AQ113" s="64"/>
      <c r="AR113" s="21"/>
      <c r="AS113" s="21"/>
      <c r="AT113" s="21"/>
      <c r="AU113" s="22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</row>
    <row r="114" spans="38:59">
      <c r="AL114" s="21"/>
      <c r="AM114" s="24"/>
      <c r="AN114" s="21"/>
      <c r="AO114" s="21"/>
      <c r="AP114" s="64"/>
      <c r="AQ114" s="64"/>
      <c r="AR114" s="21"/>
      <c r="AS114" s="21"/>
      <c r="AT114" s="21"/>
      <c r="AU114" s="22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</row>
    <row r="115" spans="38:59">
      <c r="AL115" s="21"/>
      <c r="AM115" s="24"/>
      <c r="AN115" s="21"/>
      <c r="AO115" s="21"/>
      <c r="AP115" s="64"/>
      <c r="AQ115" s="64"/>
      <c r="AR115" s="21"/>
      <c r="AS115" s="21"/>
      <c r="AT115" s="21"/>
      <c r="AU115" s="22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</row>
    <row r="116" spans="38:59">
      <c r="AL116" s="21"/>
      <c r="AM116" s="24"/>
      <c r="AN116" s="21"/>
      <c r="AO116" s="21"/>
      <c r="AP116" s="64"/>
      <c r="AQ116" s="64"/>
      <c r="AR116" s="21"/>
      <c r="AS116" s="21"/>
      <c r="AT116" s="21"/>
      <c r="AU116" s="22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</row>
    <row r="117" spans="38:59">
      <c r="AL117" s="21"/>
      <c r="AM117" s="24"/>
      <c r="AN117" s="21"/>
      <c r="AO117" s="21"/>
      <c r="AP117" s="64"/>
      <c r="AQ117" s="64"/>
      <c r="AR117" s="21"/>
      <c r="AS117" s="21"/>
      <c r="AT117" s="21"/>
      <c r="AU117" s="22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</row>
    <row r="118" spans="38:59">
      <c r="AL118" s="21"/>
      <c r="AM118" s="24"/>
      <c r="AN118" s="21"/>
      <c r="AO118" s="21"/>
      <c r="AP118" s="64"/>
      <c r="AQ118" s="64"/>
      <c r="AR118" s="21"/>
      <c r="AS118" s="21"/>
      <c r="AT118" s="21"/>
      <c r="AU118" s="22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</row>
    <row r="119" spans="38:59">
      <c r="AL119" s="21"/>
      <c r="AM119" s="24"/>
      <c r="AN119" s="21"/>
      <c r="AO119" s="21"/>
      <c r="AP119" s="64"/>
      <c r="AQ119" s="64"/>
      <c r="AR119" s="21"/>
      <c r="AS119" s="21"/>
      <c r="AT119" s="21"/>
      <c r="AU119" s="22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</row>
    <row r="120" spans="38:59">
      <c r="AL120" s="21"/>
      <c r="AM120" s="24"/>
      <c r="AN120" s="21"/>
      <c r="AO120" s="21"/>
      <c r="AP120" s="64"/>
      <c r="AQ120" s="64"/>
      <c r="AR120" s="21"/>
      <c r="AS120" s="21"/>
      <c r="AT120" s="21"/>
      <c r="AU120" s="22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</row>
    <row r="121" spans="38:59">
      <c r="AL121" s="21"/>
      <c r="AM121" s="24"/>
      <c r="AN121" s="21"/>
      <c r="AO121" s="21"/>
      <c r="AP121" s="64"/>
      <c r="AQ121" s="64"/>
      <c r="AR121" s="21"/>
      <c r="AS121" s="21"/>
      <c r="AT121" s="21"/>
      <c r="AU121" s="22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</row>
    <row r="122" spans="38:59">
      <c r="AL122" s="21"/>
      <c r="AM122" s="24"/>
      <c r="AN122" s="21"/>
      <c r="AO122" s="21"/>
      <c r="AP122" s="64"/>
      <c r="AQ122" s="64"/>
      <c r="AR122" s="21"/>
      <c r="AS122" s="21"/>
      <c r="AT122" s="21"/>
      <c r="AU122" s="22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</row>
    <row r="123" spans="38:59">
      <c r="AL123" s="21"/>
      <c r="AM123" s="24"/>
      <c r="AN123" s="21"/>
      <c r="AO123" s="21"/>
      <c r="AP123" s="64"/>
      <c r="AQ123" s="64"/>
      <c r="AR123" s="21"/>
      <c r="AS123" s="21"/>
      <c r="AT123" s="21"/>
      <c r="AU123" s="22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</row>
    <row r="124" spans="38:59">
      <c r="AL124" s="21"/>
      <c r="AM124" s="24"/>
      <c r="AN124" s="21"/>
      <c r="AO124" s="21"/>
      <c r="AP124" s="64"/>
      <c r="AQ124" s="64"/>
      <c r="AR124" s="21"/>
      <c r="AS124" s="21"/>
      <c r="AT124" s="21"/>
      <c r="AU124" s="22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</row>
    <row r="125" spans="38:59">
      <c r="AL125" s="21"/>
      <c r="AM125" s="24"/>
      <c r="AN125" s="21"/>
      <c r="AO125" s="21"/>
      <c r="AP125" s="64"/>
      <c r="AQ125" s="64"/>
      <c r="AR125" s="21"/>
      <c r="AS125" s="21"/>
      <c r="AT125" s="21"/>
      <c r="AU125" s="22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</row>
    <row r="126" spans="38:59">
      <c r="AL126" s="21"/>
      <c r="AM126" s="24"/>
      <c r="AN126" s="21"/>
      <c r="AO126" s="21"/>
      <c r="AP126" s="64"/>
      <c r="AQ126" s="64"/>
      <c r="AR126" s="21"/>
      <c r="AS126" s="21"/>
      <c r="AT126" s="21"/>
      <c r="AU126" s="22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</row>
    <row r="127" spans="38:59">
      <c r="AL127" s="21"/>
      <c r="AM127" s="24"/>
      <c r="AN127" s="21"/>
      <c r="AO127" s="21"/>
      <c r="AP127" s="64"/>
      <c r="AQ127" s="64"/>
      <c r="AR127" s="21"/>
      <c r="AS127" s="21"/>
      <c r="AT127" s="21"/>
      <c r="AU127" s="22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</row>
    <row r="128" spans="38:59">
      <c r="AL128" s="21"/>
      <c r="AM128" s="24"/>
      <c r="AN128" s="21"/>
      <c r="AO128" s="21"/>
      <c r="AP128" s="64"/>
      <c r="AQ128" s="64"/>
      <c r="AR128" s="21"/>
      <c r="AS128" s="21"/>
      <c r="AT128" s="21"/>
      <c r="AU128" s="22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</row>
    <row r="129" spans="38:59">
      <c r="AL129" s="21"/>
      <c r="AM129" s="24"/>
      <c r="AN129" s="21"/>
      <c r="AO129" s="21"/>
      <c r="AP129" s="64"/>
      <c r="AQ129" s="64"/>
      <c r="AR129" s="21"/>
      <c r="AS129" s="21"/>
      <c r="AT129" s="21"/>
      <c r="AU129" s="22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</row>
    <row r="130" spans="38:59">
      <c r="AL130" s="21"/>
      <c r="AM130" s="24"/>
      <c r="AN130" s="21"/>
      <c r="AO130" s="21"/>
      <c r="AP130" s="64"/>
      <c r="AQ130" s="64"/>
      <c r="AR130" s="21"/>
      <c r="AS130" s="21"/>
      <c r="AT130" s="21"/>
      <c r="AU130" s="22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</row>
    <row r="131" spans="38:59">
      <c r="AL131" s="21"/>
      <c r="AM131" s="24"/>
      <c r="AN131" s="21"/>
      <c r="AO131" s="21"/>
      <c r="AP131" s="64"/>
      <c r="AQ131" s="64"/>
      <c r="AR131" s="21"/>
      <c r="AS131" s="21"/>
      <c r="AT131" s="21"/>
      <c r="AU131" s="22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</row>
    <row r="132" spans="38:59">
      <c r="AL132" s="21"/>
      <c r="AM132" s="24"/>
      <c r="AN132" s="21"/>
      <c r="AO132" s="21"/>
      <c r="AP132" s="64"/>
      <c r="AQ132" s="64"/>
      <c r="AR132" s="21"/>
      <c r="AS132" s="21"/>
      <c r="AT132" s="21"/>
      <c r="AU132" s="22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</row>
    <row r="133" spans="38:59">
      <c r="AL133" s="21"/>
      <c r="AM133" s="24"/>
      <c r="AN133" s="21"/>
      <c r="AO133" s="21"/>
      <c r="AP133" s="64"/>
      <c r="AQ133" s="64"/>
      <c r="AR133" s="21"/>
      <c r="AS133" s="21"/>
      <c r="AT133" s="21"/>
      <c r="AU133" s="22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</row>
    <row r="134" spans="38:59">
      <c r="AL134" s="21"/>
      <c r="AM134" s="24"/>
      <c r="AN134" s="21"/>
      <c r="AO134" s="21"/>
      <c r="AP134" s="64"/>
      <c r="AQ134" s="64"/>
      <c r="AR134" s="21"/>
      <c r="AS134" s="21"/>
      <c r="AT134" s="21"/>
      <c r="AU134" s="22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</row>
    <row r="135" spans="38:59">
      <c r="AL135" s="21"/>
      <c r="AM135" s="24"/>
      <c r="AN135" s="21"/>
      <c r="AO135" s="21"/>
      <c r="AP135" s="64"/>
      <c r="AQ135" s="64"/>
      <c r="AR135" s="21"/>
      <c r="AS135" s="21"/>
      <c r="AT135" s="21"/>
      <c r="AU135" s="22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</row>
    <row r="136" spans="38:59">
      <c r="AL136" s="21"/>
      <c r="AM136" s="24"/>
      <c r="AN136" s="21"/>
      <c r="AO136" s="21"/>
      <c r="AP136" s="64"/>
      <c r="AQ136" s="64"/>
      <c r="AR136" s="21"/>
      <c r="AS136" s="21"/>
      <c r="AT136" s="21"/>
      <c r="AU136" s="22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</row>
    <row r="137" spans="38:59">
      <c r="AL137" s="21"/>
      <c r="AM137" s="24"/>
      <c r="AN137" s="21"/>
      <c r="AO137" s="21"/>
      <c r="AP137" s="64"/>
      <c r="AQ137" s="64"/>
      <c r="AR137" s="21"/>
      <c r="AS137" s="21"/>
      <c r="AT137" s="21"/>
      <c r="AU137" s="22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</row>
    <row r="138" spans="38:59">
      <c r="AL138" s="21"/>
      <c r="AM138" s="24"/>
      <c r="AN138" s="21"/>
      <c r="AO138" s="21"/>
      <c r="AP138" s="64"/>
      <c r="AQ138" s="64"/>
      <c r="AR138" s="21"/>
      <c r="AS138" s="21"/>
      <c r="AT138" s="21"/>
      <c r="AU138" s="22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</row>
    <row r="139" spans="38:59">
      <c r="AL139" s="21"/>
      <c r="AM139" s="24"/>
      <c r="AN139" s="21"/>
      <c r="AO139" s="21"/>
      <c r="AP139" s="64"/>
      <c r="AQ139" s="64"/>
      <c r="AR139" s="21"/>
      <c r="AS139" s="21"/>
      <c r="AT139" s="21"/>
      <c r="AU139" s="22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</row>
    <row r="140" spans="38:59">
      <c r="AL140" s="21"/>
      <c r="AM140" s="24"/>
      <c r="AN140" s="21"/>
      <c r="AO140" s="21"/>
      <c r="AP140" s="64"/>
      <c r="AQ140" s="64"/>
      <c r="AR140" s="21"/>
      <c r="AS140" s="21"/>
      <c r="AT140" s="21"/>
      <c r="AU140" s="22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</row>
    <row r="141" spans="38:59">
      <c r="AL141" s="21"/>
      <c r="AM141" s="24"/>
      <c r="AN141" s="21"/>
      <c r="AO141" s="21"/>
      <c r="AP141" s="64"/>
      <c r="AQ141" s="64"/>
      <c r="AR141" s="21"/>
      <c r="AS141" s="21"/>
      <c r="AT141" s="21"/>
      <c r="AU141" s="22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</row>
    <row r="142" spans="38:59">
      <c r="AL142" s="21"/>
      <c r="AM142" s="24"/>
      <c r="AN142" s="21"/>
      <c r="AO142" s="21"/>
      <c r="AP142" s="64"/>
      <c r="AQ142" s="64"/>
      <c r="AR142" s="21"/>
      <c r="AS142" s="21"/>
      <c r="AT142" s="21"/>
      <c r="AU142" s="22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</row>
    <row r="143" spans="38:59">
      <c r="AL143" s="21"/>
      <c r="AM143" s="24"/>
      <c r="AN143" s="21"/>
      <c r="AO143" s="21"/>
      <c r="AP143" s="64"/>
      <c r="AQ143" s="64"/>
      <c r="AR143" s="21"/>
      <c r="AS143" s="21"/>
      <c r="AT143" s="21"/>
      <c r="AU143" s="22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</row>
    <row r="144" spans="38:59">
      <c r="AL144" s="21"/>
      <c r="AM144" s="24"/>
      <c r="AN144" s="21"/>
      <c r="AO144" s="21"/>
      <c r="AP144" s="64"/>
      <c r="AQ144" s="64"/>
      <c r="AR144" s="21"/>
      <c r="AS144" s="21"/>
      <c r="AT144" s="21"/>
      <c r="AU144" s="22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</row>
    <row r="145" spans="38:59">
      <c r="AL145" s="21"/>
      <c r="AM145" s="24"/>
      <c r="AN145" s="21"/>
      <c r="AO145" s="21"/>
      <c r="AP145" s="64"/>
      <c r="AQ145" s="64"/>
      <c r="AR145" s="21"/>
      <c r="AS145" s="21"/>
      <c r="AT145" s="21"/>
      <c r="AU145" s="22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</row>
    <row r="146" spans="38:59">
      <c r="AL146" s="21"/>
      <c r="AM146" s="24"/>
      <c r="AN146" s="21"/>
      <c r="AO146" s="21"/>
      <c r="AP146" s="64"/>
      <c r="AQ146" s="64"/>
      <c r="AR146" s="21"/>
      <c r="AS146" s="21"/>
      <c r="AT146" s="21"/>
      <c r="AU146" s="22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</row>
    <row r="147" spans="38:59">
      <c r="AL147" s="21"/>
      <c r="AM147" s="24"/>
      <c r="AN147" s="21"/>
      <c r="AO147" s="21"/>
      <c r="AP147" s="64"/>
      <c r="AQ147" s="64"/>
      <c r="AR147" s="21"/>
      <c r="AS147" s="21"/>
      <c r="AT147" s="21"/>
      <c r="AU147" s="22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</row>
    <row r="148" spans="38:59">
      <c r="AL148" s="21"/>
      <c r="AM148" s="24"/>
      <c r="AN148" s="21"/>
      <c r="AO148" s="21"/>
      <c r="AP148" s="64"/>
      <c r="AQ148" s="64"/>
      <c r="AR148" s="21"/>
      <c r="AS148" s="21"/>
      <c r="AT148" s="21"/>
      <c r="AU148" s="22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</row>
    <row r="149" spans="38:59">
      <c r="AL149" s="21"/>
      <c r="AM149" s="24"/>
      <c r="AN149" s="21"/>
      <c r="AO149" s="21"/>
      <c r="AP149" s="64"/>
      <c r="AQ149" s="64"/>
      <c r="AR149" s="21"/>
      <c r="AS149" s="21"/>
      <c r="AT149" s="21"/>
      <c r="AU149" s="22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</row>
    <row r="150" spans="38:59">
      <c r="AL150" s="21"/>
      <c r="AM150" s="24"/>
      <c r="AN150" s="21"/>
      <c r="AO150" s="21"/>
      <c r="AP150" s="64"/>
      <c r="AQ150" s="64"/>
      <c r="AR150" s="21"/>
      <c r="AS150" s="21"/>
      <c r="AT150" s="21"/>
      <c r="AU150" s="22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</row>
    <row r="151" spans="38:59">
      <c r="AL151" s="21"/>
      <c r="AM151" s="24"/>
      <c r="AN151" s="21"/>
      <c r="AO151" s="21"/>
      <c r="AP151" s="64"/>
      <c r="AQ151" s="64"/>
      <c r="AR151" s="21"/>
      <c r="AS151" s="21"/>
      <c r="AT151" s="21"/>
      <c r="AU151" s="22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</row>
    <row r="152" spans="38:59">
      <c r="AL152" s="21"/>
      <c r="AM152" s="24"/>
      <c r="AN152" s="21"/>
      <c r="AO152" s="21"/>
      <c r="AP152" s="64"/>
      <c r="AQ152" s="64"/>
      <c r="AR152" s="21"/>
      <c r="AS152" s="21"/>
      <c r="AT152" s="21"/>
      <c r="AU152" s="22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</row>
    <row r="153" spans="38:59">
      <c r="AL153" s="21"/>
      <c r="AM153" s="24"/>
      <c r="AN153" s="21"/>
      <c r="AO153" s="21"/>
      <c r="AP153" s="64"/>
      <c r="AQ153" s="64"/>
      <c r="AR153" s="21"/>
      <c r="AS153" s="21"/>
      <c r="AT153" s="21"/>
      <c r="AU153" s="22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</row>
    <row r="154" spans="38:59">
      <c r="AL154" s="21"/>
      <c r="AM154" s="24"/>
      <c r="AN154" s="21"/>
      <c r="AO154" s="21"/>
      <c r="AP154" s="64"/>
      <c r="AQ154" s="64"/>
      <c r="AR154" s="21"/>
      <c r="AS154" s="21"/>
      <c r="AT154" s="21"/>
      <c r="AU154" s="22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</row>
    <row r="155" spans="38:59">
      <c r="AL155" s="21"/>
      <c r="AM155" s="24"/>
      <c r="AN155" s="21"/>
      <c r="AO155" s="21"/>
      <c r="AP155" s="64"/>
      <c r="AQ155" s="64"/>
      <c r="AR155" s="21"/>
      <c r="AS155" s="21"/>
      <c r="AT155" s="21"/>
      <c r="AU155" s="22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</row>
    <row r="156" spans="38:59">
      <c r="AL156" s="21"/>
      <c r="AM156" s="24"/>
      <c r="AN156" s="21"/>
      <c r="AO156" s="21"/>
      <c r="AP156" s="64"/>
      <c r="AQ156" s="64"/>
      <c r="AR156" s="21"/>
      <c r="AS156" s="21"/>
      <c r="AT156" s="21"/>
      <c r="AU156" s="22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</row>
    <row r="157" spans="38:59">
      <c r="AL157" s="21"/>
      <c r="AM157" s="24"/>
      <c r="AN157" s="21"/>
      <c r="AO157" s="21"/>
      <c r="AP157" s="64"/>
      <c r="AQ157" s="64"/>
      <c r="AR157" s="21"/>
      <c r="AS157" s="21"/>
      <c r="AT157" s="21"/>
      <c r="AU157" s="22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</row>
    <row r="158" spans="38:59">
      <c r="AL158" s="21"/>
      <c r="AM158" s="24"/>
      <c r="AN158" s="21"/>
      <c r="AO158" s="21"/>
      <c r="AP158" s="64"/>
      <c r="AQ158" s="64"/>
      <c r="AR158" s="21"/>
      <c r="AS158" s="21"/>
      <c r="AT158" s="21"/>
      <c r="AU158" s="22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</row>
    <row r="159" spans="38:59">
      <c r="AL159" s="21"/>
      <c r="AM159" s="24"/>
      <c r="AN159" s="21"/>
      <c r="AO159" s="21"/>
      <c r="AP159" s="64"/>
      <c r="AQ159" s="64"/>
      <c r="AR159" s="21"/>
      <c r="AS159" s="21"/>
      <c r="AT159" s="21"/>
      <c r="AU159" s="22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</row>
    <row r="160" spans="38:59">
      <c r="AL160" s="21"/>
      <c r="AM160" s="24"/>
      <c r="AN160" s="21"/>
      <c r="AO160" s="21"/>
      <c r="AP160" s="64"/>
      <c r="AQ160" s="64"/>
      <c r="AR160" s="21"/>
      <c r="AS160" s="21"/>
      <c r="AT160" s="21"/>
      <c r="AU160" s="22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</row>
    <row r="161" spans="38:59">
      <c r="AL161" s="21"/>
      <c r="AM161" s="24"/>
      <c r="AN161" s="21"/>
      <c r="AO161" s="21"/>
      <c r="AP161" s="64"/>
      <c r="AQ161" s="64"/>
      <c r="AR161" s="21"/>
      <c r="AS161" s="21"/>
      <c r="AT161" s="21"/>
      <c r="AU161" s="22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</row>
    <row r="162" spans="38:59">
      <c r="AL162" s="21"/>
      <c r="AM162" s="24"/>
      <c r="AN162" s="21"/>
      <c r="AO162" s="21"/>
      <c r="AP162" s="64"/>
      <c r="AQ162" s="64"/>
      <c r="AR162" s="21"/>
      <c r="AS162" s="21"/>
      <c r="AT162" s="21"/>
      <c r="AU162" s="22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</row>
    <row r="163" spans="38:59">
      <c r="AL163" s="21"/>
      <c r="AM163" s="24"/>
      <c r="AN163" s="21"/>
      <c r="AO163" s="21"/>
      <c r="AP163" s="64"/>
      <c r="AQ163" s="64"/>
      <c r="AR163" s="21"/>
      <c r="AS163" s="21"/>
      <c r="AT163" s="21"/>
      <c r="AU163" s="22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</row>
    <row r="164" spans="38:59">
      <c r="AL164" s="21"/>
      <c r="AM164" s="24"/>
      <c r="AN164" s="21"/>
      <c r="AO164" s="21"/>
      <c r="AP164" s="64"/>
      <c r="AQ164" s="64"/>
      <c r="AR164" s="21"/>
      <c r="AS164" s="21"/>
      <c r="AT164" s="21"/>
      <c r="AU164" s="22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</row>
    <row r="165" spans="38:59">
      <c r="AL165" s="21"/>
      <c r="AM165" s="24"/>
      <c r="AN165" s="21"/>
      <c r="AO165" s="21"/>
      <c r="AP165" s="64"/>
      <c r="AQ165" s="64"/>
      <c r="AR165" s="21"/>
      <c r="AS165" s="21"/>
      <c r="AT165" s="21"/>
      <c r="AU165" s="22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</row>
    <row r="166" spans="38:59">
      <c r="AL166" s="21"/>
      <c r="AM166" s="24"/>
      <c r="AN166" s="21"/>
      <c r="AO166" s="21"/>
      <c r="AP166" s="64"/>
      <c r="AQ166" s="64"/>
      <c r="AR166" s="21"/>
      <c r="AS166" s="21"/>
      <c r="AT166" s="21"/>
      <c r="AU166" s="22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</row>
    <row r="167" spans="38:59">
      <c r="AL167" s="21"/>
      <c r="AM167" s="24"/>
      <c r="AN167" s="21"/>
      <c r="AO167" s="21"/>
      <c r="AP167" s="64"/>
      <c r="AQ167" s="64"/>
      <c r="AR167" s="21"/>
      <c r="AS167" s="21"/>
      <c r="AT167" s="21"/>
      <c r="AU167" s="22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</row>
    <row r="168" spans="38:59">
      <c r="AL168" s="21"/>
      <c r="AM168" s="24"/>
      <c r="AN168" s="21"/>
      <c r="AO168" s="21"/>
      <c r="AP168" s="64"/>
      <c r="AQ168" s="64"/>
      <c r="AR168" s="21"/>
      <c r="AS168" s="21"/>
      <c r="AT168" s="21"/>
      <c r="AU168" s="22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</row>
    <row r="169" spans="38:59">
      <c r="AL169" s="21"/>
      <c r="AM169" s="24"/>
      <c r="AN169" s="21"/>
      <c r="AO169" s="21"/>
      <c r="AP169" s="64"/>
      <c r="AQ169" s="64"/>
      <c r="AR169" s="21"/>
      <c r="AS169" s="21"/>
      <c r="AT169" s="21"/>
      <c r="AU169" s="22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</row>
    <row r="170" spans="38:59">
      <c r="AL170" s="21"/>
      <c r="AM170" s="24"/>
      <c r="AN170" s="21"/>
      <c r="AO170" s="21"/>
      <c r="AP170" s="64"/>
      <c r="AQ170" s="64"/>
      <c r="AR170" s="21"/>
      <c r="AS170" s="21"/>
      <c r="AT170" s="21"/>
      <c r="AU170" s="22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</row>
    <row r="171" spans="38:59">
      <c r="AL171" s="21"/>
      <c r="AM171" s="24"/>
      <c r="AN171" s="21"/>
      <c r="AO171" s="21"/>
      <c r="AP171" s="64"/>
      <c r="AQ171" s="64"/>
      <c r="AR171" s="21"/>
      <c r="AS171" s="21"/>
      <c r="AT171" s="21"/>
      <c r="AU171" s="22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</row>
    <row r="172" spans="38:59">
      <c r="AL172" s="21"/>
      <c r="AM172" s="24"/>
      <c r="AN172" s="21"/>
      <c r="AO172" s="21"/>
      <c r="AP172" s="64"/>
      <c r="AQ172" s="64"/>
      <c r="AR172" s="21"/>
      <c r="AS172" s="21"/>
      <c r="AT172" s="21"/>
      <c r="AU172" s="22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</row>
    <row r="173" spans="38:59">
      <c r="AL173" s="21"/>
      <c r="AM173" s="24"/>
      <c r="AN173" s="21"/>
      <c r="AO173" s="21"/>
      <c r="AP173" s="64"/>
      <c r="AQ173" s="64"/>
      <c r="AR173" s="21"/>
      <c r="AS173" s="21"/>
      <c r="AT173" s="21"/>
      <c r="AU173" s="22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</row>
    <row r="174" spans="38:59">
      <c r="AL174" s="21"/>
      <c r="AM174" s="24"/>
      <c r="AN174" s="21"/>
      <c r="AO174" s="21"/>
      <c r="AP174" s="64"/>
      <c r="AQ174" s="64"/>
      <c r="AR174" s="21"/>
      <c r="AS174" s="21"/>
      <c r="AT174" s="21"/>
      <c r="AU174" s="22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</row>
    <row r="175" spans="38:59">
      <c r="AL175" s="21"/>
      <c r="AM175" s="24"/>
      <c r="AN175" s="21"/>
      <c r="AO175" s="21"/>
      <c r="AP175" s="64"/>
      <c r="AQ175" s="64"/>
      <c r="AR175" s="21"/>
      <c r="AS175" s="21"/>
      <c r="AT175" s="21"/>
      <c r="AU175" s="22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</row>
    <row r="176" spans="38:59">
      <c r="AL176" s="21"/>
      <c r="AM176" s="24"/>
      <c r="AN176" s="21"/>
      <c r="AO176" s="21"/>
      <c r="AP176" s="64"/>
      <c r="AQ176" s="64"/>
      <c r="AR176" s="21"/>
      <c r="AS176" s="21"/>
      <c r="AT176" s="21"/>
      <c r="AU176" s="22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</row>
    <row r="177" spans="38:59">
      <c r="AL177" s="21"/>
      <c r="AM177" s="24"/>
      <c r="AN177" s="21"/>
      <c r="AO177" s="21"/>
      <c r="AP177" s="64"/>
      <c r="AQ177" s="64"/>
      <c r="AR177" s="21"/>
      <c r="AS177" s="21"/>
      <c r="AT177" s="21"/>
      <c r="AU177" s="22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</row>
    <row r="178" spans="38:59">
      <c r="AL178" s="21"/>
      <c r="AM178" s="24"/>
      <c r="AN178" s="21"/>
      <c r="AO178" s="21"/>
      <c r="AP178" s="64"/>
      <c r="AQ178" s="64"/>
      <c r="AR178" s="21"/>
      <c r="AS178" s="21"/>
      <c r="AT178" s="21"/>
      <c r="AU178" s="22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</row>
    <row r="179" spans="38:59">
      <c r="AL179" s="21"/>
      <c r="AM179" s="24"/>
      <c r="AN179" s="21"/>
      <c r="AO179" s="21"/>
      <c r="AP179" s="64"/>
      <c r="AQ179" s="64"/>
      <c r="AR179" s="21"/>
      <c r="AS179" s="21"/>
      <c r="AT179" s="21"/>
      <c r="AU179" s="22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</row>
    <row r="180" spans="38:59">
      <c r="AL180" s="21"/>
      <c r="AM180" s="24"/>
      <c r="AN180" s="21"/>
      <c r="AO180" s="21"/>
      <c r="AP180" s="64"/>
      <c r="AQ180" s="64"/>
      <c r="AR180" s="21"/>
      <c r="AS180" s="21"/>
      <c r="AT180" s="21"/>
      <c r="AU180" s="22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</row>
    <row r="181" spans="38:59">
      <c r="AL181" s="21"/>
      <c r="AM181" s="24"/>
      <c r="AN181" s="21"/>
      <c r="AO181" s="21"/>
      <c r="AP181" s="64"/>
      <c r="AQ181" s="64"/>
      <c r="AR181" s="21"/>
      <c r="AS181" s="21"/>
      <c r="AT181" s="21"/>
      <c r="AU181" s="22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</row>
    <row r="182" spans="38:59">
      <c r="AL182" s="21"/>
      <c r="AM182" s="24"/>
      <c r="AN182" s="21"/>
      <c r="AO182" s="21"/>
      <c r="AP182" s="64"/>
      <c r="AQ182" s="64"/>
      <c r="AR182" s="21"/>
      <c r="AS182" s="21"/>
      <c r="AT182" s="21"/>
      <c r="AU182" s="22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</row>
    <row r="183" spans="38:59">
      <c r="AL183" s="21"/>
      <c r="AM183" s="24"/>
      <c r="AN183" s="21"/>
      <c r="AO183" s="21"/>
      <c r="AP183" s="64"/>
      <c r="AQ183" s="64"/>
      <c r="AR183" s="21"/>
      <c r="AS183" s="21"/>
      <c r="AT183" s="21"/>
      <c r="AU183" s="22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</row>
    <row r="184" spans="38:59">
      <c r="AL184" s="21"/>
      <c r="AM184" s="24"/>
      <c r="AN184" s="21"/>
      <c r="AO184" s="21"/>
      <c r="AP184" s="64"/>
      <c r="AQ184" s="64"/>
      <c r="AR184" s="21"/>
      <c r="AS184" s="21"/>
      <c r="AT184" s="21"/>
      <c r="AU184" s="22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</row>
    <row r="185" spans="38:59">
      <c r="AL185" s="21"/>
      <c r="AM185" s="24"/>
      <c r="AN185" s="21"/>
      <c r="AO185" s="21"/>
      <c r="AP185" s="64"/>
      <c r="AQ185" s="64"/>
      <c r="AR185" s="21"/>
      <c r="AS185" s="21"/>
      <c r="AT185" s="21"/>
      <c r="AU185" s="22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</row>
    <row r="186" spans="38:59">
      <c r="AL186" s="21"/>
      <c r="AM186" s="24"/>
      <c r="AN186" s="21"/>
      <c r="AO186" s="21"/>
      <c r="AP186" s="64"/>
      <c r="AQ186" s="64"/>
      <c r="AR186" s="21"/>
      <c r="AS186" s="21"/>
      <c r="AT186" s="21"/>
      <c r="AU186" s="22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</row>
    <row r="187" spans="38:59">
      <c r="AL187" s="21"/>
      <c r="AM187" s="24"/>
      <c r="AN187" s="21"/>
      <c r="AO187" s="21"/>
      <c r="AP187" s="64"/>
      <c r="AQ187" s="64"/>
      <c r="AR187" s="21"/>
      <c r="AS187" s="21"/>
      <c r="AT187" s="21"/>
      <c r="AU187" s="22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</row>
    <row r="188" spans="38:59">
      <c r="AL188" s="21"/>
      <c r="AM188" s="24"/>
      <c r="AN188" s="21"/>
      <c r="AO188" s="21"/>
      <c r="AP188" s="64"/>
      <c r="AQ188" s="64"/>
      <c r="AR188" s="21"/>
      <c r="AS188" s="21"/>
      <c r="AT188" s="21"/>
      <c r="AU188" s="22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</row>
    <row r="189" spans="38:59">
      <c r="AL189" s="21"/>
      <c r="AM189" s="24"/>
      <c r="AN189" s="21"/>
      <c r="AO189" s="21"/>
      <c r="AP189" s="64"/>
      <c r="AQ189" s="64"/>
      <c r="AR189" s="21"/>
      <c r="AS189" s="21"/>
      <c r="AT189" s="21"/>
      <c r="AU189" s="22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</row>
    <row r="190" spans="38:59">
      <c r="AL190" s="21"/>
      <c r="AM190" s="24"/>
      <c r="AN190" s="21"/>
      <c r="AO190" s="21"/>
      <c r="AP190" s="64"/>
      <c r="AQ190" s="64"/>
      <c r="AR190" s="21"/>
      <c r="AS190" s="21"/>
      <c r="AT190" s="21"/>
      <c r="AU190" s="22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</row>
    <row r="191" spans="38:59">
      <c r="AL191" s="21"/>
      <c r="AM191" s="24"/>
      <c r="AN191" s="21"/>
      <c r="AO191" s="21"/>
      <c r="AP191" s="64"/>
      <c r="AQ191" s="64"/>
      <c r="AR191" s="21"/>
      <c r="AS191" s="21"/>
      <c r="AT191" s="21"/>
      <c r="AU191" s="22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</row>
    <row r="192" spans="38:59">
      <c r="AL192" s="21"/>
      <c r="AM192" s="24"/>
      <c r="AN192" s="21"/>
      <c r="AO192" s="21"/>
      <c r="AP192" s="64"/>
      <c r="AQ192" s="64"/>
      <c r="AR192" s="21"/>
      <c r="AS192" s="21"/>
      <c r="AT192" s="21"/>
      <c r="AU192" s="22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</row>
    <row r="193" spans="38:59">
      <c r="AL193" s="21"/>
      <c r="AM193" s="24"/>
      <c r="AN193" s="21"/>
      <c r="AO193" s="21"/>
      <c r="AP193" s="64"/>
      <c r="AQ193" s="64"/>
      <c r="AR193" s="21"/>
      <c r="AS193" s="21"/>
      <c r="AT193" s="21"/>
      <c r="AU193" s="22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</row>
    <row r="194" spans="38:59">
      <c r="AL194" s="21"/>
      <c r="AM194" s="24"/>
      <c r="AN194" s="21"/>
      <c r="AO194" s="21"/>
      <c r="AP194" s="64"/>
      <c r="AQ194" s="64"/>
      <c r="AR194" s="21"/>
      <c r="AS194" s="21"/>
      <c r="AT194" s="21"/>
      <c r="AU194" s="22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</row>
    <row r="195" spans="38:59">
      <c r="AL195" s="21"/>
      <c r="AM195" s="24"/>
      <c r="AN195" s="21"/>
      <c r="AO195" s="21"/>
      <c r="AP195" s="64"/>
      <c r="AQ195" s="64"/>
      <c r="AR195" s="21"/>
      <c r="AS195" s="21"/>
      <c r="AT195" s="21"/>
      <c r="AU195" s="22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</row>
    <row r="196" spans="38:59">
      <c r="AL196" s="21"/>
      <c r="AM196" s="24"/>
      <c r="AN196" s="21"/>
      <c r="AO196" s="21"/>
      <c r="AP196" s="64"/>
      <c r="AQ196" s="64"/>
      <c r="AR196" s="21"/>
      <c r="AS196" s="21"/>
      <c r="AT196" s="21"/>
      <c r="AU196" s="22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</row>
    <row r="197" spans="38:59">
      <c r="AL197" s="21"/>
      <c r="AM197" s="24"/>
      <c r="AN197" s="21"/>
      <c r="AO197" s="21"/>
      <c r="AP197" s="64"/>
      <c r="AQ197" s="64"/>
      <c r="AR197" s="21"/>
      <c r="AS197" s="21"/>
      <c r="AT197" s="21"/>
      <c r="AU197" s="22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</row>
    <row r="198" spans="38:59">
      <c r="AL198" s="21"/>
      <c r="AM198" s="24"/>
      <c r="AN198" s="21"/>
      <c r="AO198" s="21"/>
      <c r="AP198" s="64"/>
      <c r="AQ198" s="64"/>
      <c r="AR198" s="21"/>
      <c r="AS198" s="21"/>
      <c r="AT198" s="21"/>
      <c r="AU198" s="22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</row>
    <row r="199" spans="38:59">
      <c r="AL199" s="21"/>
      <c r="AM199" s="24"/>
      <c r="AN199" s="21"/>
      <c r="AO199" s="21"/>
      <c r="AP199" s="64"/>
      <c r="AQ199" s="64"/>
      <c r="AR199" s="21"/>
      <c r="AS199" s="21"/>
      <c r="AT199" s="21"/>
      <c r="AU199" s="22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</row>
    <row r="200" spans="38:59">
      <c r="AL200" s="21"/>
      <c r="AM200" s="24"/>
      <c r="AN200" s="21"/>
      <c r="AO200" s="21"/>
      <c r="AP200" s="64"/>
      <c r="AQ200" s="64"/>
      <c r="AR200" s="21"/>
      <c r="AS200" s="21"/>
      <c r="AT200" s="21"/>
      <c r="AU200" s="22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</row>
    <row r="201" spans="38:59">
      <c r="AL201" s="21"/>
      <c r="AM201" s="24"/>
      <c r="AN201" s="21"/>
      <c r="AO201" s="21"/>
      <c r="AP201" s="64"/>
      <c r="AQ201" s="64"/>
      <c r="AR201" s="21"/>
      <c r="AS201" s="21"/>
      <c r="AT201" s="21"/>
      <c r="AU201" s="22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</row>
    <row r="202" spans="38:59">
      <c r="AL202" s="21"/>
      <c r="AM202" s="24"/>
      <c r="AN202" s="21"/>
      <c r="AO202" s="21"/>
      <c r="AP202" s="64"/>
      <c r="AQ202" s="64"/>
      <c r="AR202" s="21"/>
      <c r="AS202" s="21"/>
      <c r="AT202" s="21"/>
      <c r="AU202" s="22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</row>
    <row r="203" spans="38:59">
      <c r="AL203" s="21"/>
      <c r="AM203" s="24"/>
      <c r="AN203" s="21"/>
      <c r="AO203" s="21"/>
      <c r="AP203" s="64"/>
      <c r="AQ203" s="64"/>
      <c r="AR203" s="21"/>
      <c r="AS203" s="21"/>
      <c r="AT203" s="21"/>
      <c r="AU203" s="22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</row>
    <row r="204" spans="38:59">
      <c r="AL204" s="21"/>
      <c r="AM204" s="24"/>
      <c r="AN204" s="21"/>
      <c r="AO204" s="21"/>
      <c r="AP204" s="64"/>
      <c r="AQ204" s="64"/>
      <c r="AR204" s="21"/>
      <c r="AS204" s="21"/>
      <c r="AT204" s="21"/>
      <c r="AU204" s="22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</row>
    <row r="205" spans="38:59">
      <c r="AL205" s="21"/>
      <c r="AM205" s="24"/>
      <c r="AN205" s="21"/>
      <c r="AO205" s="21"/>
      <c r="AP205" s="64"/>
      <c r="AQ205" s="64"/>
      <c r="AR205" s="21"/>
      <c r="AS205" s="21"/>
      <c r="AT205" s="21"/>
      <c r="AU205" s="22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</row>
    <row r="206" spans="38:59">
      <c r="AL206" s="21"/>
      <c r="AM206" s="24"/>
      <c r="AN206" s="21"/>
      <c r="AO206" s="21"/>
      <c r="AP206" s="64"/>
      <c r="AQ206" s="64"/>
      <c r="AR206" s="21"/>
      <c r="AS206" s="21"/>
      <c r="AT206" s="21"/>
      <c r="AU206" s="22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</row>
    <row r="207" spans="38:59">
      <c r="AL207" s="21"/>
      <c r="AM207" s="24"/>
      <c r="AN207" s="21"/>
      <c r="AO207" s="21"/>
      <c r="AP207" s="64"/>
      <c r="AQ207" s="64"/>
      <c r="AR207" s="21"/>
      <c r="AS207" s="21"/>
      <c r="AT207" s="21"/>
      <c r="AU207" s="22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</row>
    <row r="208" spans="38:59">
      <c r="AL208" s="21"/>
      <c r="AM208" s="24"/>
      <c r="AN208" s="21"/>
      <c r="AO208" s="21"/>
      <c r="AP208" s="64"/>
      <c r="AQ208" s="64"/>
      <c r="AR208" s="21"/>
      <c r="AS208" s="21"/>
      <c r="AT208" s="21"/>
      <c r="AU208" s="22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</row>
    <row r="209" spans="38:59">
      <c r="AL209" s="21"/>
      <c r="AM209" s="24"/>
      <c r="AN209" s="21"/>
      <c r="AO209" s="21"/>
      <c r="AP209" s="64"/>
      <c r="AQ209" s="64"/>
      <c r="AR209" s="21"/>
      <c r="AS209" s="21"/>
      <c r="AT209" s="21"/>
      <c r="AU209" s="22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</row>
    <row r="210" spans="38:59">
      <c r="AL210" s="21"/>
      <c r="AM210" s="24"/>
      <c r="AN210" s="21"/>
      <c r="AO210" s="21"/>
      <c r="AP210" s="64"/>
      <c r="AQ210" s="64"/>
      <c r="AR210" s="21"/>
      <c r="AS210" s="21"/>
      <c r="AT210" s="21"/>
      <c r="AU210" s="22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</row>
    <row r="211" spans="38:59">
      <c r="AL211" s="21"/>
      <c r="AM211" s="24"/>
      <c r="AN211" s="21"/>
      <c r="AO211" s="21"/>
      <c r="AP211" s="64"/>
      <c r="AQ211" s="64"/>
      <c r="AR211" s="21"/>
      <c r="AS211" s="21"/>
      <c r="AT211" s="21"/>
      <c r="AU211" s="22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</row>
    <row r="212" spans="38:59">
      <c r="AL212" s="21"/>
      <c r="AM212" s="24"/>
      <c r="AN212" s="21"/>
      <c r="AO212" s="21"/>
      <c r="AP212" s="64"/>
      <c r="AQ212" s="64"/>
      <c r="AR212" s="21"/>
      <c r="AS212" s="21"/>
      <c r="AT212" s="21"/>
      <c r="AU212" s="22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</row>
    <row r="213" spans="38:59">
      <c r="AL213" s="21"/>
      <c r="AM213" s="24"/>
      <c r="AN213" s="21"/>
      <c r="AO213" s="21"/>
      <c r="AP213" s="64"/>
      <c r="AQ213" s="64"/>
      <c r="AR213" s="21"/>
      <c r="AS213" s="21"/>
      <c r="AT213" s="21"/>
      <c r="AU213" s="22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</row>
    <row r="214" spans="38:59">
      <c r="AL214" s="21"/>
      <c r="AM214" s="24"/>
      <c r="AN214" s="21"/>
      <c r="AO214" s="21"/>
      <c r="AP214" s="64"/>
      <c r="AQ214" s="64"/>
      <c r="AR214" s="21"/>
      <c r="AS214" s="21"/>
      <c r="AT214" s="21"/>
      <c r="AU214" s="22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</row>
    <row r="215" spans="38:59">
      <c r="AL215" s="21"/>
      <c r="AM215" s="24"/>
      <c r="AN215" s="21"/>
      <c r="AO215" s="21"/>
      <c r="AP215" s="64"/>
      <c r="AQ215" s="64"/>
      <c r="AR215" s="21"/>
      <c r="AS215" s="21"/>
      <c r="AT215" s="21"/>
      <c r="AU215" s="22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</row>
    <row r="216" spans="38:59">
      <c r="AL216" s="21"/>
      <c r="AM216" s="24"/>
      <c r="AN216" s="21"/>
      <c r="AO216" s="21"/>
      <c r="AP216" s="64"/>
      <c r="AQ216" s="64"/>
      <c r="AR216" s="21"/>
      <c r="AS216" s="21"/>
      <c r="AT216" s="21"/>
      <c r="AU216" s="22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</row>
    <row r="217" spans="38:59">
      <c r="AL217" s="21"/>
      <c r="AM217" s="24"/>
      <c r="AN217" s="21"/>
      <c r="AO217" s="21"/>
      <c r="AP217" s="64"/>
      <c r="AQ217" s="64"/>
      <c r="AR217" s="21"/>
      <c r="AS217" s="21"/>
      <c r="AT217" s="21"/>
      <c r="AU217" s="22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</row>
    <row r="218" spans="38:59">
      <c r="AL218" s="21"/>
      <c r="AM218" s="24"/>
      <c r="AN218" s="21"/>
      <c r="AO218" s="21"/>
      <c r="AP218" s="64"/>
      <c r="AQ218" s="64"/>
      <c r="AR218" s="21"/>
      <c r="AS218" s="21"/>
      <c r="AT218" s="21"/>
      <c r="AU218" s="22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</row>
    <row r="219" spans="38:59">
      <c r="AL219" s="21"/>
      <c r="AM219" s="24"/>
      <c r="AN219" s="21"/>
      <c r="AO219" s="21"/>
      <c r="AP219" s="64"/>
      <c r="AQ219" s="64"/>
      <c r="AR219" s="21"/>
      <c r="AS219" s="21"/>
      <c r="AT219" s="21"/>
      <c r="AU219" s="22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</row>
    <row r="220" spans="38:59">
      <c r="AL220" s="21"/>
      <c r="AM220" s="24"/>
      <c r="AN220" s="21"/>
      <c r="AO220" s="21"/>
      <c r="AP220" s="64"/>
      <c r="AQ220" s="64"/>
      <c r="AR220" s="21"/>
      <c r="AS220" s="21"/>
      <c r="AT220" s="21"/>
      <c r="AU220" s="22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</row>
    <row r="221" spans="38:59">
      <c r="AL221" s="21"/>
      <c r="AM221" s="24"/>
      <c r="AN221" s="21"/>
      <c r="AO221" s="21"/>
      <c r="AP221" s="64"/>
      <c r="AQ221" s="64"/>
      <c r="AR221" s="21"/>
      <c r="AS221" s="21"/>
      <c r="AT221" s="21"/>
      <c r="AU221" s="22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</row>
    <row r="222" spans="38:59">
      <c r="AL222" s="21"/>
      <c r="AM222" s="24"/>
      <c r="AN222" s="21"/>
      <c r="AO222" s="21"/>
      <c r="AP222" s="64"/>
      <c r="AQ222" s="64"/>
      <c r="AR222" s="21"/>
      <c r="AS222" s="21"/>
      <c r="AT222" s="21"/>
      <c r="AU222" s="22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</row>
    <row r="223" spans="38:59">
      <c r="AL223" s="21"/>
      <c r="AM223" s="24"/>
      <c r="AN223" s="21"/>
      <c r="AO223" s="21"/>
      <c r="AP223" s="64"/>
      <c r="AQ223" s="64"/>
      <c r="AR223" s="21"/>
      <c r="AS223" s="21"/>
      <c r="AT223" s="21"/>
      <c r="AU223" s="22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</row>
    <row r="224" spans="38:59">
      <c r="AL224" s="21"/>
      <c r="AM224" s="24"/>
      <c r="AN224" s="21"/>
      <c r="AO224" s="21"/>
      <c r="AP224" s="64"/>
      <c r="AQ224" s="64"/>
      <c r="AR224" s="21"/>
      <c r="AS224" s="21"/>
      <c r="AT224" s="21"/>
      <c r="AU224" s="22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</row>
    <row r="225" spans="38:59">
      <c r="AL225" s="21"/>
      <c r="AM225" s="24"/>
      <c r="AN225" s="21"/>
      <c r="AO225" s="21"/>
      <c r="AP225" s="64"/>
      <c r="AQ225" s="64"/>
      <c r="AR225" s="21"/>
      <c r="AS225" s="21"/>
      <c r="AT225" s="21"/>
      <c r="AU225" s="22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</row>
    <row r="226" spans="38:59">
      <c r="AL226" s="21"/>
      <c r="AM226" s="24"/>
      <c r="AN226" s="21"/>
      <c r="AO226" s="21"/>
      <c r="AP226" s="64"/>
      <c r="AQ226" s="64"/>
      <c r="AR226" s="21"/>
      <c r="AS226" s="21"/>
      <c r="AT226" s="21"/>
      <c r="AU226" s="22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</row>
    <row r="227" spans="38:59">
      <c r="AL227" s="21"/>
      <c r="AM227" s="24"/>
      <c r="AN227" s="21"/>
      <c r="AO227" s="21"/>
      <c r="AP227" s="64"/>
      <c r="AQ227" s="64"/>
      <c r="AR227" s="21"/>
      <c r="AS227" s="21"/>
      <c r="AT227" s="21"/>
      <c r="AU227" s="22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</row>
    <row r="228" spans="38:59">
      <c r="AL228" s="21"/>
      <c r="AM228" s="24"/>
      <c r="AN228" s="21"/>
      <c r="AO228" s="21"/>
      <c r="AP228" s="64"/>
      <c r="AQ228" s="64"/>
      <c r="AR228" s="21"/>
      <c r="AS228" s="21"/>
      <c r="AT228" s="21"/>
      <c r="AU228" s="22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</row>
    <row r="229" spans="38:59">
      <c r="AL229" s="21"/>
      <c r="AM229" s="24"/>
      <c r="AN229" s="21"/>
      <c r="AO229" s="21"/>
      <c r="AP229" s="64"/>
      <c r="AQ229" s="64"/>
      <c r="AR229" s="21"/>
      <c r="AS229" s="21"/>
      <c r="AT229" s="21"/>
      <c r="AU229" s="22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</row>
    <row r="230" spans="38:59">
      <c r="AL230" s="21"/>
      <c r="AM230" s="24"/>
      <c r="AN230" s="21"/>
      <c r="AO230" s="21"/>
      <c r="AP230" s="64"/>
      <c r="AQ230" s="64"/>
      <c r="AR230" s="21"/>
      <c r="AS230" s="21"/>
      <c r="AT230" s="21"/>
      <c r="AU230" s="22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</row>
    <row r="231" spans="38:59">
      <c r="AL231" s="21"/>
      <c r="AM231" s="24"/>
      <c r="AN231" s="21"/>
      <c r="AO231" s="21"/>
      <c r="AP231" s="64"/>
      <c r="AQ231" s="64"/>
      <c r="AR231" s="21"/>
      <c r="AS231" s="21"/>
      <c r="AT231" s="21"/>
      <c r="AU231" s="22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</row>
    <row r="232" spans="38:59">
      <c r="AL232" s="21"/>
      <c r="AM232" s="24"/>
      <c r="AN232" s="21"/>
      <c r="AO232" s="21"/>
      <c r="AP232" s="64"/>
      <c r="AQ232" s="64"/>
      <c r="AR232" s="21"/>
      <c r="AS232" s="21"/>
      <c r="AT232" s="21"/>
      <c r="AU232" s="22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</row>
    <row r="233" spans="38:59">
      <c r="AL233" s="21"/>
      <c r="AM233" s="24"/>
      <c r="AN233" s="21"/>
      <c r="AO233" s="21"/>
      <c r="AP233" s="64"/>
      <c r="AQ233" s="64"/>
      <c r="AR233" s="21"/>
      <c r="AS233" s="21"/>
      <c r="AT233" s="21"/>
      <c r="AU233" s="22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</row>
    <row r="234" spans="38:59">
      <c r="AL234" s="21"/>
      <c r="AM234" s="24"/>
      <c r="AN234" s="21"/>
      <c r="AO234" s="21"/>
      <c r="AP234" s="64"/>
      <c r="AQ234" s="64"/>
      <c r="AR234" s="21"/>
      <c r="AS234" s="21"/>
      <c r="AT234" s="21"/>
      <c r="AU234" s="22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</row>
    <row r="235" spans="38:59">
      <c r="AL235" s="21"/>
      <c r="AM235" s="24"/>
      <c r="AN235" s="21"/>
      <c r="AO235" s="21"/>
      <c r="AP235" s="64"/>
      <c r="AQ235" s="64"/>
      <c r="AR235" s="21"/>
      <c r="AS235" s="21"/>
      <c r="AT235" s="21"/>
      <c r="AU235" s="22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</row>
    <row r="236" spans="38:59">
      <c r="AL236" s="21"/>
      <c r="AM236" s="24"/>
      <c r="AN236" s="21"/>
      <c r="AO236" s="21"/>
      <c r="AP236" s="64"/>
      <c r="AQ236" s="64"/>
      <c r="AR236" s="21"/>
      <c r="AS236" s="21"/>
      <c r="AT236" s="21"/>
      <c r="AU236" s="22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</row>
    <row r="237" spans="38:59">
      <c r="AL237" s="21"/>
      <c r="AM237" s="24"/>
      <c r="AN237" s="21"/>
      <c r="AO237" s="21"/>
      <c r="AP237" s="64"/>
      <c r="AQ237" s="64"/>
      <c r="AR237" s="21"/>
      <c r="AS237" s="21"/>
      <c r="AT237" s="21"/>
      <c r="AU237" s="22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</row>
    <row r="238" spans="38:59">
      <c r="AL238" s="21"/>
      <c r="AM238" s="24"/>
      <c r="AN238" s="21"/>
      <c r="AO238" s="21"/>
      <c r="AP238" s="64"/>
      <c r="AQ238" s="64"/>
      <c r="AR238" s="21"/>
      <c r="AS238" s="21"/>
      <c r="AT238" s="21"/>
      <c r="AU238" s="22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</row>
    <row r="239" spans="38:59">
      <c r="AL239" s="21"/>
      <c r="AM239" s="24"/>
      <c r="AN239" s="21"/>
      <c r="AO239" s="21"/>
      <c r="AP239" s="64"/>
      <c r="AQ239" s="64"/>
      <c r="AR239" s="21"/>
      <c r="AS239" s="21"/>
      <c r="AT239" s="21"/>
      <c r="AU239" s="22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</row>
    <row r="240" spans="38:59">
      <c r="AL240" s="21"/>
      <c r="AM240" s="24"/>
      <c r="AN240" s="21"/>
      <c r="AO240" s="21"/>
      <c r="AP240" s="64"/>
      <c r="AQ240" s="64"/>
      <c r="AR240" s="21"/>
      <c r="AS240" s="21"/>
      <c r="AT240" s="21"/>
      <c r="AU240" s="22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</row>
    <row r="241" spans="38:59">
      <c r="AL241" s="21"/>
      <c r="AM241" s="24"/>
      <c r="AN241" s="21"/>
      <c r="AO241" s="21"/>
      <c r="AP241" s="64"/>
      <c r="AQ241" s="64"/>
      <c r="AR241" s="21"/>
      <c r="AS241" s="21"/>
      <c r="AT241" s="21"/>
      <c r="AU241" s="22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</row>
    <row r="242" spans="38:59">
      <c r="AL242" s="21"/>
      <c r="AM242" s="24"/>
      <c r="AN242" s="21"/>
      <c r="AO242" s="21"/>
      <c r="AP242" s="64"/>
      <c r="AQ242" s="64"/>
      <c r="AR242" s="21"/>
      <c r="AS242" s="21"/>
      <c r="AT242" s="21"/>
      <c r="AU242" s="22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</row>
    <row r="243" spans="38:59">
      <c r="AL243" s="21"/>
      <c r="AM243" s="24"/>
      <c r="AN243" s="21"/>
      <c r="AO243" s="21"/>
      <c r="AP243" s="64"/>
      <c r="AQ243" s="64"/>
      <c r="AR243" s="21"/>
      <c r="AS243" s="21"/>
      <c r="AT243" s="21"/>
      <c r="AU243" s="22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</row>
    <row r="244" spans="38:59">
      <c r="AL244" s="21"/>
      <c r="AM244" s="24"/>
      <c r="AN244" s="21"/>
      <c r="AO244" s="21"/>
      <c r="AP244" s="64"/>
      <c r="AQ244" s="64"/>
      <c r="AR244" s="21"/>
      <c r="AS244" s="21"/>
      <c r="AT244" s="21"/>
      <c r="AU244" s="22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</row>
    <row r="245" spans="38:59">
      <c r="AL245" s="21"/>
      <c r="AM245" s="24"/>
      <c r="AN245" s="21"/>
      <c r="AO245" s="21"/>
      <c r="AP245" s="64"/>
      <c r="AQ245" s="64"/>
      <c r="AR245" s="21"/>
      <c r="AS245" s="21"/>
      <c r="AT245" s="21"/>
      <c r="AU245" s="22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</row>
    <row r="246" spans="38:59">
      <c r="AL246" s="21"/>
      <c r="AM246" s="24"/>
      <c r="AN246" s="21"/>
      <c r="AO246" s="21"/>
      <c r="AP246" s="64"/>
      <c r="AQ246" s="64"/>
      <c r="AR246" s="21"/>
      <c r="AS246" s="21"/>
      <c r="AT246" s="21"/>
      <c r="AU246" s="22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</row>
    <row r="247" spans="38:59">
      <c r="AL247" s="21"/>
      <c r="AM247" s="24"/>
      <c r="AN247" s="21"/>
      <c r="AO247" s="21"/>
      <c r="AP247" s="64"/>
      <c r="AQ247" s="64"/>
      <c r="AR247" s="21"/>
      <c r="AS247" s="21"/>
      <c r="AT247" s="21"/>
      <c r="AU247" s="22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</row>
    <row r="248" spans="38:59">
      <c r="AL248" s="21"/>
      <c r="AM248" s="24"/>
      <c r="AN248" s="21"/>
      <c r="AO248" s="21"/>
      <c r="AP248" s="64"/>
      <c r="AQ248" s="64"/>
      <c r="AR248" s="21"/>
      <c r="AS248" s="21"/>
      <c r="AT248" s="21"/>
      <c r="AU248" s="22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</row>
    <row r="249" spans="38:59">
      <c r="AL249" s="21"/>
      <c r="AM249" s="24"/>
      <c r="AN249" s="21"/>
      <c r="AO249" s="21"/>
      <c r="AP249" s="64"/>
      <c r="AQ249" s="64"/>
      <c r="AR249" s="21"/>
      <c r="AS249" s="21"/>
      <c r="AT249" s="21"/>
      <c r="AU249" s="22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</row>
    <row r="250" spans="38:59">
      <c r="AL250" s="21"/>
      <c r="AM250" s="24"/>
      <c r="AN250" s="21"/>
      <c r="AO250" s="21"/>
      <c r="AP250" s="64"/>
      <c r="AQ250" s="64"/>
      <c r="AR250" s="21"/>
      <c r="AS250" s="21"/>
      <c r="AT250" s="21"/>
      <c r="AU250" s="22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</row>
    <row r="251" spans="38:59">
      <c r="AL251" s="21"/>
      <c r="AM251" s="24"/>
      <c r="AN251" s="21"/>
      <c r="AO251" s="21"/>
      <c r="AP251" s="64"/>
      <c r="AQ251" s="64"/>
      <c r="AR251" s="21"/>
      <c r="AS251" s="21"/>
      <c r="AT251" s="21"/>
      <c r="AU251" s="22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</row>
    <row r="252" spans="38:59">
      <c r="AL252" s="21"/>
      <c r="AM252" s="24"/>
      <c r="AN252" s="21"/>
      <c r="AO252" s="21"/>
      <c r="AP252" s="64"/>
      <c r="AQ252" s="64"/>
      <c r="AR252" s="21"/>
      <c r="AS252" s="21"/>
      <c r="AT252" s="21"/>
      <c r="AU252" s="22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</row>
    <row r="253" spans="38:59">
      <c r="AL253" s="21"/>
      <c r="AM253" s="24"/>
      <c r="AN253" s="21"/>
      <c r="AO253" s="21"/>
      <c r="AP253" s="64"/>
      <c r="AQ253" s="64"/>
      <c r="AR253" s="21"/>
      <c r="AS253" s="21"/>
      <c r="AT253" s="21"/>
      <c r="AU253" s="22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</row>
    <row r="254" spans="38:59">
      <c r="AL254" s="21"/>
      <c r="AM254" s="24"/>
      <c r="AN254" s="21"/>
      <c r="AO254" s="21"/>
      <c r="AP254" s="64"/>
      <c r="AQ254" s="64"/>
      <c r="AR254" s="21"/>
      <c r="AS254" s="21"/>
      <c r="AT254" s="21"/>
      <c r="AU254" s="22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</row>
    <row r="255" spans="38:59">
      <c r="AL255" s="21"/>
      <c r="AM255" s="24"/>
      <c r="AN255" s="21"/>
      <c r="AO255" s="21"/>
      <c r="AP255" s="64"/>
      <c r="AQ255" s="64"/>
      <c r="AR255" s="21"/>
      <c r="AS255" s="21"/>
      <c r="AT255" s="21"/>
      <c r="AU255" s="22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</row>
    <row r="256" spans="38:59">
      <c r="AL256" s="21"/>
      <c r="AM256" s="24"/>
      <c r="AN256" s="21"/>
      <c r="AO256" s="21"/>
      <c r="AP256" s="64"/>
      <c r="AQ256" s="64"/>
      <c r="AR256" s="21"/>
      <c r="AS256" s="21"/>
      <c r="AT256" s="21"/>
      <c r="AU256" s="22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</row>
    <row r="257" spans="38:59">
      <c r="AL257" s="21"/>
      <c r="AM257" s="24"/>
      <c r="AN257" s="21"/>
      <c r="AO257" s="21"/>
      <c r="AP257" s="64"/>
      <c r="AQ257" s="64"/>
      <c r="AR257" s="21"/>
      <c r="AS257" s="21"/>
      <c r="AT257" s="21"/>
      <c r="AU257" s="22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</row>
    <row r="258" spans="38:59">
      <c r="AL258" s="21"/>
      <c r="AM258" s="24"/>
      <c r="AN258" s="21"/>
      <c r="AO258" s="21"/>
      <c r="AP258" s="64"/>
      <c r="AQ258" s="64"/>
      <c r="AR258" s="21"/>
      <c r="AS258" s="21"/>
      <c r="AT258" s="21"/>
      <c r="AU258" s="22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</row>
    <row r="259" spans="38:59">
      <c r="AL259" s="21"/>
      <c r="AM259" s="24"/>
      <c r="AN259" s="21"/>
      <c r="AO259" s="21"/>
      <c r="AP259" s="64"/>
      <c r="AQ259" s="64"/>
      <c r="AR259" s="21"/>
      <c r="AS259" s="21"/>
      <c r="AT259" s="21"/>
      <c r="AU259" s="22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</row>
    <row r="260" spans="38:59">
      <c r="AL260" s="21"/>
      <c r="AM260" s="24"/>
      <c r="AN260" s="21"/>
      <c r="AO260" s="21"/>
      <c r="AP260" s="64"/>
      <c r="AQ260" s="64"/>
      <c r="AR260" s="21"/>
      <c r="AS260" s="21"/>
      <c r="AT260" s="21"/>
      <c r="AU260" s="22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</row>
    <row r="261" spans="38:59">
      <c r="AL261" s="21"/>
      <c r="AM261" s="24"/>
      <c r="AN261" s="21"/>
      <c r="AO261" s="21"/>
      <c r="AP261" s="64"/>
      <c r="AQ261" s="64"/>
      <c r="AR261" s="21"/>
      <c r="AS261" s="21"/>
      <c r="AT261" s="21"/>
      <c r="AU261" s="22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</row>
    <row r="262" spans="38:59">
      <c r="AL262" s="21"/>
      <c r="AM262" s="24"/>
      <c r="AN262" s="21"/>
      <c r="AO262" s="21"/>
      <c r="AP262" s="64"/>
      <c r="AQ262" s="64"/>
      <c r="AR262" s="21"/>
      <c r="AS262" s="21"/>
      <c r="AT262" s="21"/>
      <c r="AU262" s="22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</row>
    <row r="263" spans="38:59">
      <c r="AL263" s="21"/>
      <c r="AM263" s="24"/>
      <c r="AN263" s="21"/>
      <c r="AO263" s="21"/>
      <c r="AP263" s="64"/>
      <c r="AQ263" s="64"/>
      <c r="AR263" s="21"/>
      <c r="AS263" s="21"/>
      <c r="AT263" s="21"/>
      <c r="AU263" s="22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</row>
    <row r="264" spans="38:59">
      <c r="AL264" s="21"/>
      <c r="AM264" s="24"/>
      <c r="AN264" s="21"/>
      <c r="AO264" s="21"/>
      <c r="AP264" s="64"/>
      <c r="AQ264" s="64"/>
      <c r="AR264" s="21"/>
      <c r="AS264" s="21"/>
      <c r="AT264" s="21"/>
      <c r="AU264" s="22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</row>
    <row r="265" spans="38:59">
      <c r="AL265" s="21"/>
      <c r="AM265" s="24"/>
      <c r="AN265" s="21"/>
      <c r="AO265" s="21"/>
      <c r="AP265" s="64"/>
      <c r="AQ265" s="64"/>
      <c r="AR265" s="21"/>
      <c r="AS265" s="21"/>
      <c r="AT265" s="21"/>
      <c r="AU265" s="22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</row>
    <row r="266" spans="38:59">
      <c r="AL266" s="21"/>
      <c r="AM266" s="24"/>
      <c r="AN266" s="21"/>
      <c r="AO266" s="21"/>
      <c r="AP266" s="64"/>
      <c r="AQ266" s="64"/>
      <c r="AR266" s="21"/>
      <c r="AS266" s="21"/>
      <c r="AT266" s="21"/>
      <c r="AU266" s="22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</row>
    <row r="267" spans="38:59">
      <c r="AL267" s="21"/>
      <c r="AM267" s="24"/>
      <c r="AN267" s="21"/>
      <c r="AO267" s="21"/>
      <c r="AP267" s="64"/>
      <c r="AQ267" s="64"/>
      <c r="AR267" s="21"/>
      <c r="AS267" s="21"/>
      <c r="AT267" s="21"/>
      <c r="AU267" s="22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</row>
    <row r="268" spans="38:59">
      <c r="AL268" s="21"/>
      <c r="AM268" s="24"/>
      <c r="AN268" s="21"/>
      <c r="AO268" s="21"/>
      <c r="AP268" s="64"/>
      <c r="AQ268" s="64"/>
      <c r="AR268" s="21"/>
      <c r="AS268" s="21"/>
      <c r="AT268" s="21"/>
      <c r="AU268" s="22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</row>
    <row r="269" spans="38:59">
      <c r="AL269" s="21"/>
      <c r="AM269" s="24"/>
      <c r="AN269" s="21"/>
      <c r="AO269" s="21"/>
      <c r="AP269" s="64"/>
      <c r="AQ269" s="64"/>
      <c r="AR269" s="21"/>
      <c r="AS269" s="21"/>
      <c r="AT269" s="21"/>
      <c r="AU269" s="22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</row>
    <row r="270" spans="38:59">
      <c r="AL270" s="21"/>
      <c r="AM270" s="24"/>
      <c r="AN270" s="21"/>
      <c r="AO270" s="21"/>
      <c r="AP270" s="64"/>
      <c r="AQ270" s="64"/>
      <c r="AR270" s="21"/>
      <c r="AS270" s="21"/>
      <c r="AT270" s="21"/>
      <c r="AU270" s="22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</row>
    <row r="271" spans="38:59">
      <c r="AL271" s="21"/>
      <c r="AM271" s="24"/>
      <c r="AN271" s="21"/>
      <c r="AO271" s="21"/>
      <c r="AP271" s="64"/>
      <c r="AQ271" s="64"/>
      <c r="AR271" s="21"/>
      <c r="AS271" s="21"/>
      <c r="AT271" s="21"/>
      <c r="AU271" s="22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</row>
    <row r="272" spans="38:59">
      <c r="AL272" s="21"/>
      <c r="AM272" s="24"/>
      <c r="AN272" s="21"/>
      <c r="AO272" s="21"/>
      <c r="AP272" s="64"/>
      <c r="AQ272" s="64"/>
      <c r="AR272" s="21"/>
      <c r="AS272" s="21"/>
      <c r="AT272" s="21"/>
      <c r="AU272" s="22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</row>
    <row r="273" spans="38:59">
      <c r="AL273" s="21"/>
      <c r="AM273" s="24"/>
      <c r="AN273" s="21"/>
      <c r="AO273" s="21"/>
      <c r="AP273" s="64"/>
      <c r="AQ273" s="64"/>
      <c r="AR273" s="21"/>
      <c r="AS273" s="21"/>
      <c r="AT273" s="21"/>
      <c r="AU273" s="22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</row>
    <row r="274" spans="38:59">
      <c r="AL274" s="21"/>
      <c r="AM274" s="24"/>
      <c r="AN274" s="21"/>
      <c r="AO274" s="21"/>
      <c r="AP274" s="64"/>
      <c r="AQ274" s="64"/>
      <c r="AR274" s="21"/>
      <c r="AS274" s="21"/>
      <c r="AT274" s="21"/>
      <c r="AU274" s="22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</row>
    <row r="275" spans="38:59">
      <c r="AL275" s="21"/>
      <c r="AM275" s="24"/>
      <c r="AN275" s="21"/>
      <c r="AO275" s="21"/>
      <c r="AP275" s="64"/>
      <c r="AQ275" s="64"/>
      <c r="AR275" s="21"/>
      <c r="AS275" s="21"/>
      <c r="AT275" s="21"/>
      <c r="AU275" s="22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</row>
    <row r="276" spans="38:59">
      <c r="AL276" s="21"/>
      <c r="AM276" s="24"/>
      <c r="AN276" s="21"/>
      <c r="AO276" s="21"/>
      <c r="AP276" s="64"/>
      <c r="AQ276" s="64"/>
      <c r="AR276" s="21"/>
      <c r="AS276" s="21"/>
      <c r="AT276" s="21"/>
      <c r="AU276" s="22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</row>
    <row r="277" spans="38:59">
      <c r="AL277" s="21"/>
      <c r="AM277" s="24"/>
      <c r="AN277" s="21"/>
      <c r="AO277" s="21"/>
      <c r="AP277" s="64"/>
      <c r="AQ277" s="64"/>
      <c r="AR277" s="21"/>
      <c r="AS277" s="21"/>
      <c r="AT277" s="21"/>
      <c r="AU277" s="22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</row>
    <row r="278" spans="38:59">
      <c r="AL278" s="21"/>
      <c r="AM278" s="24"/>
      <c r="AN278" s="21"/>
      <c r="AO278" s="21"/>
      <c r="AP278" s="64"/>
      <c r="AQ278" s="64"/>
      <c r="AR278" s="21"/>
      <c r="AS278" s="21"/>
      <c r="AT278" s="21"/>
      <c r="AU278" s="22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</row>
    <row r="279" spans="38:59">
      <c r="AL279" s="21"/>
      <c r="AM279" s="24"/>
      <c r="AN279" s="21"/>
      <c r="AO279" s="21"/>
      <c r="AP279" s="64"/>
      <c r="AQ279" s="64"/>
      <c r="AR279" s="21"/>
      <c r="AS279" s="21"/>
      <c r="AT279" s="21"/>
      <c r="AU279" s="22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</row>
    <row r="280" spans="38:59">
      <c r="AL280" s="21"/>
      <c r="AM280" s="24"/>
      <c r="AN280" s="21"/>
      <c r="AO280" s="21"/>
      <c r="AP280" s="64"/>
      <c r="AQ280" s="64"/>
      <c r="AR280" s="21"/>
      <c r="AS280" s="21"/>
      <c r="AT280" s="21"/>
      <c r="AU280" s="22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</row>
    <row r="281" spans="38:59">
      <c r="AL281" s="21"/>
      <c r="AM281" s="24"/>
      <c r="AN281" s="21"/>
      <c r="AO281" s="21"/>
      <c r="AP281" s="64"/>
      <c r="AQ281" s="64"/>
      <c r="AR281" s="21"/>
      <c r="AS281" s="21"/>
      <c r="AT281" s="21"/>
      <c r="AU281" s="22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</row>
    <row r="282" spans="38:59">
      <c r="AL282" s="21"/>
      <c r="AM282" s="24"/>
      <c r="AN282" s="21"/>
      <c r="AO282" s="21"/>
      <c r="AP282" s="64"/>
      <c r="AQ282" s="64"/>
      <c r="AR282" s="21"/>
      <c r="AS282" s="21"/>
      <c r="AT282" s="21"/>
      <c r="AU282" s="22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</row>
    <row r="283" spans="38:59">
      <c r="AL283" s="21"/>
      <c r="AM283" s="24"/>
      <c r="AN283" s="21"/>
      <c r="AO283" s="21"/>
      <c r="AP283" s="64"/>
      <c r="AQ283" s="64"/>
      <c r="AR283" s="21"/>
      <c r="AS283" s="21"/>
      <c r="AT283" s="21"/>
      <c r="AU283" s="22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</row>
    <row r="284" spans="38:59">
      <c r="AL284" s="21"/>
      <c r="AM284" s="24"/>
      <c r="AN284" s="21"/>
      <c r="AO284" s="21"/>
      <c r="AP284" s="64"/>
      <c r="AQ284" s="64"/>
      <c r="AR284" s="21"/>
      <c r="AS284" s="21"/>
      <c r="AT284" s="21"/>
      <c r="AU284" s="22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</row>
    <row r="285" spans="38:59">
      <c r="AL285" s="21"/>
      <c r="AM285" s="24"/>
      <c r="AN285" s="21"/>
      <c r="AO285" s="21"/>
      <c r="AP285" s="64"/>
      <c r="AQ285" s="64"/>
      <c r="AR285" s="21"/>
      <c r="AS285" s="21"/>
      <c r="AT285" s="21"/>
      <c r="AU285" s="22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</row>
    <row r="286" spans="38:59">
      <c r="AL286" s="21"/>
      <c r="AM286" s="24"/>
      <c r="AN286" s="21"/>
      <c r="AO286" s="21"/>
      <c r="AP286" s="64"/>
      <c r="AQ286" s="64"/>
      <c r="AR286" s="21"/>
      <c r="AS286" s="21"/>
      <c r="AT286" s="21"/>
      <c r="AU286" s="22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</row>
    <row r="287" spans="38:59">
      <c r="AL287" s="21"/>
      <c r="AM287" s="24"/>
      <c r="AN287" s="21"/>
      <c r="AO287" s="21"/>
      <c r="AP287" s="64"/>
      <c r="AQ287" s="64"/>
      <c r="AR287" s="21"/>
      <c r="AS287" s="21"/>
      <c r="AT287" s="21"/>
      <c r="AU287" s="22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</row>
    <row r="288" spans="38:59">
      <c r="AL288" s="21"/>
      <c r="AM288" s="24"/>
      <c r="AN288" s="21"/>
      <c r="AO288" s="21"/>
      <c r="AP288" s="64"/>
      <c r="AQ288" s="64"/>
      <c r="AR288" s="21"/>
      <c r="AS288" s="21"/>
      <c r="AT288" s="21"/>
      <c r="AU288" s="22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</row>
    <row r="289" spans="38:59">
      <c r="AL289" s="21"/>
      <c r="AM289" s="24"/>
      <c r="AN289" s="21"/>
      <c r="AO289" s="21"/>
      <c r="AP289" s="64"/>
      <c r="AQ289" s="64"/>
      <c r="AR289" s="21"/>
      <c r="AS289" s="21"/>
      <c r="AT289" s="21"/>
      <c r="AU289" s="22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</row>
    <row r="290" spans="38:59">
      <c r="AL290" s="21"/>
      <c r="AM290" s="24"/>
      <c r="AN290" s="21"/>
      <c r="AO290" s="21"/>
      <c r="AP290" s="64"/>
      <c r="AQ290" s="64"/>
      <c r="AR290" s="21"/>
      <c r="AS290" s="21"/>
      <c r="AT290" s="21"/>
      <c r="AU290" s="22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</row>
    <row r="291" spans="38:59">
      <c r="AL291" s="21"/>
      <c r="AM291" s="24"/>
      <c r="AN291" s="21"/>
      <c r="AO291" s="21"/>
      <c r="AP291" s="64"/>
      <c r="AQ291" s="64"/>
      <c r="AR291" s="21"/>
      <c r="AS291" s="21"/>
      <c r="AT291" s="21"/>
      <c r="AU291" s="22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</row>
    <row r="292" spans="38:59">
      <c r="AL292" s="21"/>
      <c r="AM292" s="24"/>
      <c r="AN292" s="21"/>
      <c r="AO292" s="21"/>
      <c r="AP292" s="64"/>
      <c r="AQ292" s="64"/>
      <c r="AR292" s="21"/>
      <c r="AS292" s="21"/>
      <c r="AT292" s="21"/>
      <c r="AU292" s="22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</row>
    <row r="293" spans="38:59">
      <c r="AL293" s="21"/>
      <c r="AM293" s="24"/>
      <c r="AN293" s="21"/>
      <c r="AO293" s="21"/>
      <c r="AP293" s="64"/>
      <c r="AQ293" s="64"/>
      <c r="AR293" s="21"/>
      <c r="AS293" s="21"/>
      <c r="AT293" s="21"/>
      <c r="AU293" s="22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</row>
    <row r="294" spans="38:59">
      <c r="AL294" s="21"/>
      <c r="AM294" s="24"/>
      <c r="AN294" s="21"/>
      <c r="AO294" s="21"/>
      <c r="AP294" s="64"/>
      <c r="AQ294" s="64"/>
      <c r="AR294" s="21"/>
      <c r="AS294" s="21"/>
      <c r="AT294" s="21"/>
      <c r="AU294" s="22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</row>
    <row r="295" spans="38:59">
      <c r="AL295" s="21"/>
      <c r="AM295" s="24"/>
      <c r="AN295" s="21"/>
      <c r="AO295" s="21"/>
      <c r="AP295" s="64"/>
      <c r="AQ295" s="64"/>
      <c r="AR295" s="21"/>
      <c r="AS295" s="21"/>
      <c r="AT295" s="21"/>
      <c r="AU295" s="22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</row>
    <row r="296" spans="38:59">
      <c r="AL296" s="21"/>
      <c r="AM296" s="24"/>
      <c r="AN296" s="21"/>
      <c r="AO296" s="21"/>
      <c r="AP296" s="64"/>
      <c r="AQ296" s="64"/>
      <c r="AR296" s="21"/>
      <c r="AS296" s="21"/>
      <c r="AT296" s="21"/>
      <c r="AU296" s="22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</row>
    <row r="297" spans="38:59">
      <c r="AL297" s="21"/>
      <c r="AM297" s="24"/>
      <c r="AN297" s="21"/>
      <c r="AO297" s="21"/>
      <c r="AP297" s="64"/>
      <c r="AQ297" s="64"/>
      <c r="AR297" s="21"/>
      <c r="AS297" s="21"/>
      <c r="AT297" s="21"/>
      <c r="AU297" s="22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</row>
    <row r="298" spans="38:59">
      <c r="AL298" s="21"/>
      <c r="AM298" s="24"/>
      <c r="AN298" s="21"/>
      <c r="AO298" s="21"/>
      <c r="AP298" s="64"/>
      <c r="AQ298" s="64"/>
      <c r="AR298" s="21"/>
      <c r="AS298" s="21"/>
      <c r="AT298" s="21"/>
      <c r="AU298" s="22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</row>
    <row r="299" spans="38:59">
      <c r="AL299" s="21"/>
      <c r="AM299" s="24"/>
      <c r="AN299" s="21"/>
      <c r="AO299" s="21"/>
      <c r="AP299" s="64"/>
      <c r="AQ299" s="64"/>
      <c r="AR299" s="21"/>
      <c r="AS299" s="21"/>
      <c r="AT299" s="21"/>
      <c r="AU299" s="22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</row>
    <row r="300" spans="38:59">
      <c r="AL300" s="21"/>
      <c r="AM300" s="24"/>
      <c r="AN300" s="21"/>
      <c r="AO300" s="21"/>
      <c r="AP300" s="64"/>
      <c r="AQ300" s="64"/>
      <c r="AR300" s="21"/>
      <c r="AS300" s="21"/>
      <c r="AT300" s="21"/>
      <c r="AU300" s="22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</row>
    <row r="301" spans="38:59">
      <c r="AL301" s="21"/>
      <c r="AM301" s="24"/>
      <c r="AN301" s="21"/>
      <c r="AO301" s="21"/>
      <c r="AP301" s="64"/>
      <c r="AQ301" s="64"/>
      <c r="AR301" s="21"/>
      <c r="AS301" s="21"/>
      <c r="AT301" s="21"/>
      <c r="AU301" s="22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</row>
    <row r="302" spans="38:59">
      <c r="AL302" s="21"/>
      <c r="AM302" s="24"/>
      <c r="AN302" s="21"/>
      <c r="AO302" s="21"/>
      <c r="AP302" s="64"/>
      <c r="AQ302" s="64"/>
      <c r="AR302" s="21"/>
      <c r="AS302" s="21"/>
      <c r="AT302" s="21"/>
      <c r="AU302" s="22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</row>
    <row r="303" spans="38:59">
      <c r="AL303" s="21"/>
      <c r="AM303" s="24"/>
      <c r="AN303" s="21"/>
      <c r="AO303" s="21"/>
      <c r="AP303" s="64"/>
      <c r="AQ303" s="64"/>
      <c r="AR303" s="21"/>
      <c r="AS303" s="21"/>
      <c r="AT303" s="21"/>
      <c r="AU303" s="22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</row>
    <row r="304" spans="38:59">
      <c r="AL304" s="21"/>
      <c r="AM304" s="24"/>
      <c r="AN304" s="21"/>
      <c r="AO304" s="21"/>
      <c r="AP304" s="64"/>
      <c r="AQ304" s="64"/>
      <c r="AR304" s="21"/>
      <c r="AS304" s="21"/>
      <c r="AT304" s="21"/>
      <c r="AU304" s="22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</row>
    <row r="305" spans="38:59">
      <c r="AL305" s="21"/>
      <c r="AM305" s="24"/>
      <c r="AN305" s="21"/>
      <c r="AO305" s="21"/>
      <c r="AP305" s="64"/>
      <c r="AQ305" s="64"/>
      <c r="AR305" s="21"/>
      <c r="AS305" s="21"/>
      <c r="AT305" s="21"/>
      <c r="AU305" s="22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</row>
    <row r="306" spans="38:59">
      <c r="AL306" s="21"/>
      <c r="AM306" s="24"/>
      <c r="AN306" s="21"/>
      <c r="AO306" s="21"/>
      <c r="AP306" s="64"/>
      <c r="AQ306" s="64"/>
      <c r="AR306" s="21"/>
      <c r="AS306" s="21"/>
      <c r="AT306" s="21"/>
      <c r="AU306" s="22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</row>
    <row r="307" spans="38:59">
      <c r="AL307" s="21"/>
      <c r="AM307" s="24"/>
      <c r="AN307" s="21"/>
      <c r="AO307" s="21"/>
      <c r="AP307" s="64"/>
      <c r="AQ307" s="64"/>
      <c r="AR307" s="21"/>
      <c r="AS307" s="21"/>
      <c r="AT307" s="21"/>
      <c r="AU307" s="22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</row>
    <row r="308" spans="38:59">
      <c r="AL308" s="21"/>
      <c r="AM308" s="24"/>
      <c r="AN308" s="21"/>
      <c r="AO308" s="21"/>
      <c r="AP308" s="64"/>
      <c r="AQ308" s="64"/>
      <c r="AR308" s="21"/>
      <c r="AS308" s="21"/>
      <c r="AT308" s="21"/>
      <c r="AU308" s="22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</row>
    <row r="309" spans="38:59">
      <c r="AL309" s="21"/>
      <c r="AM309" s="24"/>
      <c r="AN309" s="21"/>
      <c r="AO309" s="21"/>
      <c r="AP309" s="64"/>
      <c r="AQ309" s="64"/>
      <c r="AR309" s="21"/>
      <c r="AS309" s="21"/>
      <c r="AT309" s="21"/>
      <c r="AU309" s="22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</row>
    <row r="310" spans="38:59">
      <c r="AL310" s="21"/>
      <c r="AM310" s="24"/>
      <c r="AN310" s="21"/>
      <c r="AO310" s="21"/>
      <c r="AP310" s="64"/>
      <c r="AQ310" s="64"/>
      <c r="AR310" s="21"/>
      <c r="AS310" s="21"/>
      <c r="AT310" s="21"/>
      <c r="AU310" s="22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</row>
    <row r="311" spans="38:59">
      <c r="AL311" s="21"/>
      <c r="AM311" s="24"/>
      <c r="AN311" s="21"/>
      <c r="AO311" s="21"/>
      <c r="AP311" s="64"/>
      <c r="AQ311" s="64"/>
      <c r="AR311" s="21"/>
      <c r="AS311" s="21"/>
      <c r="AT311" s="21"/>
      <c r="AU311" s="22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</row>
    <row r="312" spans="38:59">
      <c r="AL312" s="21"/>
      <c r="AM312" s="24"/>
      <c r="AN312" s="21"/>
      <c r="AO312" s="21"/>
      <c r="AP312" s="64"/>
      <c r="AQ312" s="64"/>
      <c r="AR312" s="21"/>
      <c r="AS312" s="21"/>
      <c r="AT312" s="21"/>
      <c r="AU312" s="22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</row>
    <row r="313" spans="38:59">
      <c r="AL313" s="21"/>
      <c r="AM313" s="24"/>
      <c r="AN313" s="21"/>
      <c r="AO313" s="21"/>
      <c r="AP313" s="64"/>
      <c r="AQ313" s="64"/>
      <c r="AR313" s="21"/>
      <c r="AS313" s="21"/>
      <c r="AT313" s="21"/>
      <c r="AU313" s="22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</row>
    <row r="314" spans="38:59">
      <c r="AL314" s="21"/>
      <c r="AM314" s="24"/>
      <c r="AN314" s="21"/>
      <c r="AO314" s="21"/>
      <c r="AP314" s="64"/>
      <c r="AQ314" s="64"/>
      <c r="AR314" s="21"/>
      <c r="AS314" s="21"/>
      <c r="AT314" s="21"/>
      <c r="AU314" s="22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</row>
    <row r="315" spans="38:59">
      <c r="AL315" s="21"/>
      <c r="AM315" s="24"/>
      <c r="AN315" s="21"/>
      <c r="AO315" s="21"/>
      <c r="AP315" s="64"/>
      <c r="AQ315" s="64"/>
      <c r="AR315" s="21"/>
      <c r="AS315" s="21"/>
      <c r="AT315" s="21"/>
      <c r="AU315" s="22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</row>
    <row r="316" spans="38:59">
      <c r="AL316" s="21"/>
      <c r="AM316" s="24"/>
      <c r="AN316" s="21"/>
      <c r="AO316" s="21"/>
      <c r="AP316" s="64"/>
      <c r="AQ316" s="64"/>
      <c r="AR316" s="21"/>
      <c r="AS316" s="21"/>
      <c r="AT316" s="21"/>
      <c r="AU316" s="22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</row>
    <row r="317" spans="38:59">
      <c r="AL317" s="21"/>
      <c r="AM317" s="24"/>
      <c r="AN317" s="21"/>
      <c r="AO317" s="21"/>
      <c r="AP317" s="64"/>
      <c r="AQ317" s="64"/>
      <c r="AR317" s="21"/>
      <c r="AS317" s="21"/>
      <c r="AT317" s="21"/>
      <c r="AU317" s="22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</row>
    <row r="318" spans="38:59">
      <c r="AL318" s="21"/>
      <c r="AM318" s="24"/>
      <c r="AN318" s="21"/>
      <c r="AO318" s="21"/>
      <c r="AP318" s="64"/>
      <c r="AQ318" s="64"/>
      <c r="AR318" s="21"/>
      <c r="AS318" s="21"/>
      <c r="AT318" s="21"/>
      <c r="AU318" s="22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</row>
    <row r="319" spans="38:59">
      <c r="AL319" s="21"/>
      <c r="AM319" s="24"/>
      <c r="AN319" s="21"/>
      <c r="AO319" s="21"/>
      <c r="AP319" s="64"/>
      <c r="AQ319" s="64"/>
      <c r="AR319" s="21"/>
      <c r="AS319" s="21"/>
      <c r="AT319" s="21"/>
      <c r="AU319" s="22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</row>
    <row r="320" spans="38:59">
      <c r="AL320" s="21"/>
      <c r="AM320" s="24"/>
      <c r="AN320" s="21"/>
      <c r="AO320" s="21"/>
      <c r="AP320" s="64"/>
      <c r="AQ320" s="64"/>
      <c r="AR320" s="21"/>
      <c r="AS320" s="21"/>
      <c r="AT320" s="21"/>
      <c r="AU320" s="22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</row>
    <row r="321" spans="38:59">
      <c r="AL321" s="21"/>
      <c r="AM321" s="24"/>
      <c r="AN321" s="21"/>
      <c r="AO321" s="21"/>
      <c r="AP321" s="64"/>
      <c r="AQ321" s="64"/>
      <c r="AR321" s="21"/>
      <c r="AS321" s="21"/>
      <c r="AT321" s="21"/>
      <c r="AU321" s="22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</row>
    <row r="322" spans="38:59">
      <c r="AL322" s="21"/>
      <c r="AM322" s="24"/>
      <c r="AN322" s="21"/>
      <c r="AO322" s="21"/>
      <c r="AP322" s="64"/>
      <c r="AQ322" s="64"/>
      <c r="AR322" s="21"/>
      <c r="AS322" s="21"/>
      <c r="AT322" s="21"/>
      <c r="AU322" s="22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</row>
    <row r="323" spans="38:59">
      <c r="AL323" s="21"/>
      <c r="AM323" s="24"/>
      <c r="AN323" s="21"/>
      <c r="AO323" s="21"/>
      <c r="AP323" s="64"/>
      <c r="AQ323" s="64"/>
      <c r="AR323" s="21"/>
      <c r="AS323" s="21"/>
      <c r="AT323" s="21"/>
      <c r="AU323" s="22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</row>
    <row r="324" spans="38:59">
      <c r="AL324" s="21"/>
      <c r="AM324" s="24"/>
      <c r="AN324" s="21"/>
      <c r="AO324" s="21"/>
      <c r="AP324" s="64"/>
      <c r="AQ324" s="64"/>
      <c r="AR324" s="21"/>
      <c r="AS324" s="21"/>
      <c r="AT324" s="21"/>
      <c r="AU324" s="22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</row>
    <row r="325" spans="38:59">
      <c r="AL325" s="21"/>
      <c r="AM325" s="24"/>
      <c r="AN325" s="21"/>
      <c r="AO325" s="21"/>
      <c r="AP325" s="64"/>
      <c r="AQ325" s="64"/>
      <c r="AR325" s="21"/>
      <c r="AS325" s="21"/>
      <c r="AT325" s="21"/>
      <c r="AU325" s="22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</row>
    <row r="326" spans="38:59">
      <c r="AL326" s="21"/>
      <c r="AM326" s="24"/>
      <c r="AN326" s="21"/>
      <c r="AO326" s="21"/>
      <c r="AP326" s="64"/>
      <c r="AQ326" s="64"/>
      <c r="AR326" s="21"/>
      <c r="AS326" s="21"/>
      <c r="AT326" s="21"/>
      <c r="AU326" s="22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</row>
    <row r="327" spans="38:59">
      <c r="AL327" s="21"/>
      <c r="AM327" s="24"/>
      <c r="AN327" s="21"/>
      <c r="AO327" s="21"/>
      <c r="AP327" s="64"/>
      <c r="AQ327" s="64"/>
      <c r="AR327" s="21"/>
      <c r="AS327" s="21"/>
      <c r="AT327" s="21"/>
      <c r="AU327" s="22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</row>
    <row r="328" spans="38:59">
      <c r="AL328" s="21"/>
      <c r="AM328" s="24"/>
      <c r="AN328" s="21"/>
      <c r="AO328" s="21"/>
      <c r="AP328" s="64"/>
      <c r="AQ328" s="64"/>
      <c r="AR328" s="21"/>
      <c r="AS328" s="21"/>
      <c r="AT328" s="21"/>
      <c r="AU328" s="22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</row>
    <row r="329" spans="38:59">
      <c r="AL329" s="21"/>
      <c r="AM329" s="24"/>
      <c r="AN329" s="21"/>
      <c r="AO329" s="21"/>
      <c r="AP329" s="64"/>
      <c r="AQ329" s="64"/>
      <c r="AR329" s="21"/>
      <c r="AS329" s="21"/>
      <c r="AT329" s="21"/>
      <c r="AU329" s="22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</row>
    <row r="330" spans="38:59">
      <c r="AL330" s="21"/>
      <c r="AM330" s="24"/>
      <c r="AN330" s="21"/>
      <c r="AO330" s="21"/>
      <c r="AP330" s="64"/>
      <c r="AQ330" s="64"/>
      <c r="AR330" s="21"/>
      <c r="AS330" s="21"/>
      <c r="AT330" s="21"/>
      <c r="AU330" s="22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</row>
    <row r="331" spans="38:59">
      <c r="AL331" s="21"/>
      <c r="AM331" s="24"/>
      <c r="AN331" s="21"/>
      <c r="AO331" s="21"/>
      <c r="AP331" s="64"/>
      <c r="AQ331" s="64"/>
      <c r="AR331" s="21"/>
      <c r="AS331" s="21"/>
      <c r="AT331" s="21"/>
      <c r="AU331" s="22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</row>
    <row r="332" spans="38:59">
      <c r="AL332" s="21"/>
      <c r="AM332" s="24"/>
      <c r="AN332" s="21"/>
      <c r="AO332" s="21"/>
      <c r="AP332" s="64"/>
      <c r="AQ332" s="64"/>
      <c r="AR332" s="21"/>
      <c r="AS332" s="21"/>
      <c r="AT332" s="21"/>
      <c r="AU332" s="22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</row>
    <row r="333" spans="38:59">
      <c r="AL333" s="21"/>
      <c r="AM333" s="24"/>
      <c r="AN333" s="21"/>
      <c r="AO333" s="21"/>
      <c r="AP333" s="64"/>
      <c r="AQ333" s="64"/>
      <c r="AR333" s="21"/>
      <c r="AS333" s="21"/>
      <c r="AT333" s="21"/>
      <c r="AU333" s="22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</row>
    <row r="334" spans="38:59">
      <c r="AL334" s="21"/>
      <c r="AM334" s="24"/>
      <c r="AN334" s="21"/>
      <c r="AO334" s="21"/>
      <c r="AP334" s="64"/>
      <c r="AQ334" s="64"/>
      <c r="AR334" s="21"/>
      <c r="AS334" s="21"/>
      <c r="AT334" s="21"/>
      <c r="AU334" s="22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</row>
    <row r="335" spans="38:59">
      <c r="AL335" s="21"/>
      <c r="AM335" s="24"/>
      <c r="AN335" s="21"/>
      <c r="AO335" s="21"/>
      <c r="AP335" s="64"/>
      <c r="AQ335" s="64"/>
      <c r="AR335" s="21"/>
      <c r="AS335" s="21"/>
      <c r="AT335" s="21"/>
      <c r="AU335" s="22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</row>
    <row r="336" spans="38:59">
      <c r="AL336" s="21"/>
      <c r="AM336" s="24"/>
      <c r="AN336" s="21"/>
      <c r="AO336" s="21"/>
      <c r="AP336" s="64"/>
      <c r="AQ336" s="64"/>
      <c r="AR336" s="21"/>
      <c r="AS336" s="21"/>
      <c r="AT336" s="21"/>
      <c r="AU336" s="22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</row>
    <row r="337" spans="38:59">
      <c r="AL337" s="21"/>
      <c r="AM337" s="24"/>
      <c r="AN337" s="21"/>
      <c r="AO337" s="21"/>
      <c r="AP337" s="64"/>
      <c r="AQ337" s="64"/>
      <c r="AR337" s="21"/>
      <c r="AS337" s="21"/>
      <c r="AT337" s="21"/>
      <c r="AU337" s="22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</row>
    <row r="338" spans="38:59">
      <c r="AL338" s="21"/>
      <c r="AM338" s="24"/>
      <c r="AN338" s="21"/>
      <c r="AO338" s="21"/>
      <c r="AP338" s="64"/>
      <c r="AQ338" s="64"/>
      <c r="AR338" s="21"/>
      <c r="AS338" s="21"/>
      <c r="AT338" s="21"/>
      <c r="AU338" s="22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</row>
    <row r="339" spans="38:59">
      <c r="AL339" s="21"/>
      <c r="AM339" s="24"/>
      <c r="AN339" s="21"/>
      <c r="AO339" s="21"/>
      <c r="AP339" s="64"/>
      <c r="AQ339" s="64"/>
      <c r="AR339" s="21"/>
      <c r="AS339" s="21"/>
      <c r="AT339" s="21"/>
      <c r="AU339" s="22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</row>
    <row r="340" spans="38:59">
      <c r="AL340" s="21"/>
      <c r="AM340" s="24"/>
      <c r="AN340" s="21"/>
      <c r="AO340" s="21"/>
      <c r="AP340" s="64"/>
      <c r="AQ340" s="64"/>
      <c r="AR340" s="21"/>
      <c r="AS340" s="21"/>
      <c r="AT340" s="21"/>
      <c r="AU340" s="22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</row>
    <row r="341" spans="38:59">
      <c r="AL341" s="21"/>
      <c r="AM341" s="24"/>
      <c r="AN341" s="21"/>
      <c r="AO341" s="21"/>
      <c r="AP341" s="64"/>
      <c r="AQ341" s="64"/>
      <c r="AR341" s="21"/>
      <c r="AS341" s="21"/>
      <c r="AT341" s="21"/>
      <c r="AU341" s="22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</row>
    <row r="342" spans="38:59">
      <c r="AL342" s="21"/>
      <c r="AM342" s="24"/>
      <c r="AN342" s="21"/>
      <c r="AO342" s="21"/>
      <c r="AP342" s="64"/>
      <c r="AQ342" s="64"/>
      <c r="AR342" s="21"/>
      <c r="AS342" s="21"/>
      <c r="AT342" s="21"/>
      <c r="AU342" s="22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</row>
    <row r="343" spans="38:59">
      <c r="AL343" s="21"/>
      <c r="AM343" s="24"/>
      <c r="AN343" s="21"/>
      <c r="AO343" s="21"/>
      <c r="AP343" s="64"/>
      <c r="AQ343" s="64"/>
      <c r="AR343" s="21"/>
      <c r="AS343" s="21"/>
      <c r="AT343" s="21"/>
      <c r="AU343" s="22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</row>
    <row r="344" spans="38:59">
      <c r="AL344" s="21"/>
      <c r="AM344" s="24"/>
      <c r="AN344" s="21"/>
      <c r="AO344" s="21"/>
      <c r="AP344" s="64"/>
      <c r="AQ344" s="64"/>
      <c r="AR344" s="21"/>
      <c r="AS344" s="21"/>
      <c r="AT344" s="21"/>
      <c r="AU344" s="22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</row>
    <row r="345" spans="38:59">
      <c r="AL345" s="21"/>
      <c r="AM345" s="24"/>
      <c r="AN345" s="21"/>
      <c r="AO345" s="21"/>
      <c r="AP345" s="64"/>
      <c r="AQ345" s="64"/>
      <c r="AR345" s="21"/>
      <c r="AS345" s="21"/>
      <c r="AT345" s="21"/>
      <c r="AU345" s="22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</row>
    <row r="346" spans="38:59">
      <c r="AL346" s="21"/>
      <c r="AM346" s="24"/>
      <c r="AN346" s="21"/>
      <c r="AO346" s="21"/>
      <c r="AP346" s="64"/>
      <c r="AQ346" s="64"/>
      <c r="AR346" s="21"/>
      <c r="AS346" s="21"/>
      <c r="AT346" s="21"/>
      <c r="AU346" s="22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</row>
    <row r="347" spans="38:59">
      <c r="AL347" s="21"/>
      <c r="AM347" s="24"/>
      <c r="AN347" s="21"/>
      <c r="AO347" s="21"/>
      <c r="AP347" s="64"/>
      <c r="AQ347" s="64"/>
      <c r="AR347" s="21"/>
      <c r="AS347" s="21"/>
      <c r="AT347" s="21"/>
      <c r="AU347" s="22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</row>
    <row r="348" spans="38:59">
      <c r="AL348" s="21"/>
      <c r="AM348" s="24"/>
      <c r="AN348" s="21"/>
      <c r="AO348" s="21"/>
      <c r="AP348" s="64"/>
      <c r="AQ348" s="64"/>
      <c r="AR348" s="21"/>
      <c r="AS348" s="21"/>
      <c r="AT348" s="21"/>
      <c r="AU348" s="22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</row>
    <row r="349" spans="38:59">
      <c r="AL349" s="21"/>
      <c r="AM349" s="24"/>
      <c r="AN349" s="21"/>
      <c r="AO349" s="21"/>
      <c r="AP349" s="64"/>
      <c r="AQ349" s="64"/>
      <c r="AR349" s="21"/>
      <c r="AS349" s="21"/>
      <c r="AT349" s="21"/>
      <c r="AU349" s="22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</row>
    <row r="350" spans="38:59">
      <c r="AL350" s="21"/>
      <c r="AM350" s="24"/>
      <c r="AN350" s="21"/>
      <c r="AO350" s="21"/>
      <c r="AP350" s="64"/>
      <c r="AQ350" s="64"/>
      <c r="AR350" s="21"/>
      <c r="AS350" s="21"/>
      <c r="AT350" s="21"/>
      <c r="AU350" s="22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</row>
    <row r="351" spans="38:59">
      <c r="AL351" s="21"/>
      <c r="AM351" s="24"/>
      <c r="AN351" s="21"/>
      <c r="AO351" s="21"/>
      <c r="AP351" s="64"/>
      <c r="AQ351" s="64"/>
      <c r="AR351" s="21"/>
      <c r="AS351" s="21"/>
      <c r="AT351" s="21"/>
      <c r="AU351" s="22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</row>
    <row r="352" spans="38:59">
      <c r="AL352" s="21"/>
      <c r="AM352" s="24"/>
      <c r="AN352" s="21"/>
      <c r="AO352" s="21"/>
      <c r="AP352" s="64"/>
      <c r="AQ352" s="64"/>
      <c r="AR352" s="21"/>
      <c r="AS352" s="21"/>
      <c r="AT352" s="21"/>
      <c r="AU352" s="22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</row>
    <row r="353" spans="38:59">
      <c r="AL353" s="21"/>
      <c r="AM353" s="24"/>
      <c r="AN353" s="21"/>
      <c r="AO353" s="21"/>
      <c r="AP353" s="64"/>
      <c r="AQ353" s="64"/>
      <c r="AR353" s="21"/>
      <c r="AS353" s="21"/>
      <c r="AT353" s="21"/>
      <c r="AU353" s="22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</row>
    <row r="354" spans="38:59">
      <c r="AL354" s="21"/>
      <c r="AM354" s="24"/>
      <c r="AN354" s="21"/>
      <c r="AO354" s="21"/>
      <c r="AP354" s="64"/>
      <c r="AQ354" s="64"/>
      <c r="AR354" s="21"/>
      <c r="AS354" s="21"/>
      <c r="AT354" s="21"/>
      <c r="AU354" s="22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</row>
    <row r="355" spans="38:59">
      <c r="AL355" s="21"/>
      <c r="AM355" s="24"/>
      <c r="AN355" s="21"/>
      <c r="AO355" s="21"/>
      <c r="AP355" s="64"/>
      <c r="AQ355" s="64"/>
      <c r="AR355" s="21"/>
      <c r="AS355" s="21"/>
      <c r="AT355" s="21"/>
      <c r="AU355" s="22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</row>
    <row r="356" spans="38:59">
      <c r="AL356" s="21"/>
      <c r="AM356" s="24"/>
      <c r="AN356" s="21"/>
      <c r="AO356" s="21"/>
      <c r="AP356" s="64"/>
      <c r="AQ356" s="64"/>
      <c r="AR356" s="21"/>
      <c r="AS356" s="21"/>
      <c r="AT356" s="21"/>
      <c r="AU356" s="22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</row>
    <row r="357" spans="38:59">
      <c r="AL357" s="21"/>
      <c r="AM357" s="24"/>
      <c r="AN357" s="21"/>
      <c r="AO357" s="21"/>
      <c r="AP357" s="64"/>
      <c r="AQ357" s="64"/>
      <c r="AR357" s="21"/>
      <c r="AS357" s="21"/>
      <c r="AT357" s="21"/>
      <c r="AU357" s="22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</row>
    <row r="358" spans="38:59">
      <c r="AL358" s="21"/>
      <c r="AM358" s="24"/>
      <c r="AN358" s="21"/>
      <c r="AO358" s="21"/>
      <c r="AP358" s="64"/>
      <c r="AQ358" s="64"/>
      <c r="AR358" s="21"/>
      <c r="AS358" s="21"/>
      <c r="AT358" s="21"/>
      <c r="AU358" s="22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</row>
    <row r="359" spans="38:59">
      <c r="AL359" s="21"/>
      <c r="AM359" s="24"/>
      <c r="AN359" s="21"/>
      <c r="AO359" s="21"/>
      <c r="AP359" s="64"/>
      <c r="AQ359" s="64"/>
      <c r="AR359" s="21"/>
      <c r="AS359" s="21"/>
      <c r="AT359" s="21"/>
      <c r="AU359" s="22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</row>
    <row r="360" spans="38:59">
      <c r="AL360" s="21"/>
      <c r="AM360" s="24"/>
      <c r="AN360" s="21"/>
      <c r="AO360" s="21"/>
      <c r="AP360" s="64"/>
      <c r="AQ360" s="64"/>
      <c r="AR360" s="21"/>
      <c r="AS360" s="21"/>
      <c r="AT360" s="21"/>
      <c r="AU360" s="22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</row>
    <row r="361" spans="38:59">
      <c r="AL361" s="21"/>
      <c r="AM361" s="24"/>
      <c r="AN361" s="21"/>
      <c r="AO361" s="21"/>
      <c r="AP361" s="64"/>
      <c r="AQ361" s="64"/>
      <c r="AR361" s="21"/>
      <c r="AS361" s="21"/>
      <c r="AT361" s="21"/>
      <c r="AU361" s="22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</row>
    <row r="362" spans="38:59">
      <c r="AL362" s="21"/>
      <c r="AM362" s="24"/>
      <c r="AN362" s="21"/>
      <c r="AO362" s="21"/>
      <c r="AP362" s="64"/>
      <c r="AQ362" s="64"/>
      <c r="AR362" s="21"/>
      <c r="AS362" s="21"/>
      <c r="AT362" s="21"/>
      <c r="AU362" s="22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</row>
    <row r="363" spans="38:59">
      <c r="AL363" s="21"/>
      <c r="AM363" s="24"/>
      <c r="AN363" s="21"/>
      <c r="AO363" s="21"/>
      <c r="AP363" s="64"/>
      <c r="AQ363" s="64"/>
      <c r="AR363" s="21"/>
      <c r="AS363" s="21"/>
      <c r="AT363" s="21"/>
      <c r="AU363" s="22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</row>
    <row r="364" spans="38:59">
      <c r="AL364" s="21"/>
      <c r="AM364" s="24"/>
      <c r="AN364" s="21"/>
      <c r="AO364" s="21"/>
      <c r="AP364" s="64"/>
      <c r="AQ364" s="64"/>
      <c r="AR364" s="21"/>
      <c r="AS364" s="21"/>
      <c r="AT364" s="21"/>
      <c r="AU364" s="22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</row>
    <row r="365" spans="38:59">
      <c r="AL365" s="21"/>
      <c r="AM365" s="24"/>
      <c r="AN365" s="21"/>
      <c r="AO365" s="21"/>
      <c r="AP365" s="64"/>
      <c r="AQ365" s="64"/>
      <c r="AR365" s="21"/>
      <c r="AS365" s="21"/>
      <c r="AT365" s="21"/>
      <c r="AU365" s="22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</row>
    <row r="366" spans="38:59">
      <c r="AL366" s="21"/>
      <c r="AM366" s="24"/>
      <c r="AN366" s="21"/>
      <c r="AO366" s="21"/>
      <c r="AP366" s="64"/>
      <c r="AQ366" s="64"/>
      <c r="AR366" s="21"/>
      <c r="AS366" s="21"/>
      <c r="AT366" s="21"/>
      <c r="AU366" s="22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</row>
    <row r="367" spans="38:59">
      <c r="AL367" s="21"/>
      <c r="AM367" s="24"/>
      <c r="AN367" s="21"/>
      <c r="AO367" s="21"/>
      <c r="AP367" s="64"/>
      <c r="AQ367" s="64"/>
      <c r="AR367" s="21"/>
      <c r="AS367" s="21"/>
      <c r="AT367" s="21"/>
      <c r="AU367" s="22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</row>
    <row r="368" spans="38:59">
      <c r="AL368" s="21"/>
      <c r="AM368" s="24"/>
      <c r="AN368" s="21"/>
      <c r="AO368" s="21"/>
      <c r="AP368" s="64"/>
      <c r="AQ368" s="64"/>
      <c r="AR368" s="21"/>
      <c r="AS368" s="21"/>
      <c r="AT368" s="21"/>
      <c r="AU368" s="22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</row>
    <row r="369" spans="38:59">
      <c r="AL369" s="21"/>
      <c r="AM369" s="24"/>
      <c r="AN369" s="21"/>
      <c r="AO369" s="21"/>
      <c r="AP369" s="64"/>
      <c r="AQ369" s="64"/>
      <c r="AR369" s="21"/>
      <c r="AS369" s="21"/>
      <c r="AT369" s="21"/>
      <c r="AU369" s="22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</row>
    <row r="370" spans="38:59">
      <c r="AL370" s="21"/>
      <c r="AM370" s="24"/>
      <c r="AN370" s="21"/>
      <c r="AO370" s="21"/>
      <c r="AP370" s="64"/>
      <c r="AQ370" s="64"/>
      <c r="AR370" s="21"/>
      <c r="AS370" s="21"/>
      <c r="AT370" s="21"/>
      <c r="AU370" s="22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</row>
    <row r="371" spans="38:59">
      <c r="AL371" s="21"/>
      <c r="AM371" s="24"/>
      <c r="AN371" s="21"/>
      <c r="AO371" s="21"/>
      <c r="AP371" s="64"/>
      <c r="AQ371" s="64"/>
      <c r="AR371" s="21"/>
      <c r="AS371" s="21"/>
      <c r="AT371" s="21"/>
      <c r="AU371" s="22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</row>
    <row r="372" spans="38:59">
      <c r="AL372" s="21"/>
      <c r="AM372" s="24"/>
      <c r="AN372" s="21"/>
      <c r="AO372" s="21"/>
      <c r="AP372" s="64"/>
      <c r="AQ372" s="64"/>
      <c r="AR372" s="21"/>
      <c r="AS372" s="21"/>
      <c r="AT372" s="21"/>
      <c r="AU372" s="22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</row>
    <row r="373" spans="38:59">
      <c r="AL373" s="21"/>
      <c r="AM373" s="24"/>
      <c r="AN373" s="21"/>
      <c r="AO373" s="21"/>
      <c r="AP373" s="64"/>
      <c r="AQ373" s="64"/>
      <c r="AR373" s="21"/>
      <c r="AS373" s="21"/>
      <c r="AT373" s="21"/>
      <c r="AU373" s="22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</row>
    <row r="374" spans="38:59">
      <c r="AL374" s="21"/>
      <c r="AM374" s="24"/>
      <c r="AN374" s="21"/>
      <c r="AO374" s="21"/>
      <c r="AP374" s="64"/>
      <c r="AQ374" s="64"/>
      <c r="AR374" s="21"/>
      <c r="AS374" s="21"/>
      <c r="AT374" s="21"/>
      <c r="AU374" s="22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</row>
    <row r="375" spans="38:59">
      <c r="AL375" s="21"/>
      <c r="AM375" s="24"/>
      <c r="AN375" s="21"/>
      <c r="AO375" s="21"/>
      <c r="AP375" s="64"/>
      <c r="AQ375" s="64"/>
      <c r="AR375" s="21"/>
      <c r="AS375" s="21"/>
      <c r="AT375" s="21"/>
      <c r="AU375" s="22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</row>
    <row r="376" spans="38:59">
      <c r="AL376" s="21"/>
      <c r="AM376" s="24"/>
      <c r="AN376" s="21"/>
      <c r="AO376" s="21"/>
      <c r="AP376" s="64"/>
      <c r="AQ376" s="64"/>
      <c r="AR376" s="21"/>
      <c r="AS376" s="21"/>
      <c r="AT376" s="21"/>
      <c r="AU376" s="22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</row>
    <row r="377" spans="38:59">
      <c r="AL377" s="21"/>
      <c r="AM377" s="24"/>
      <c r="AN377" s="21"/>
      <c r="AO377" s="21"/>
      <c r="AP377" s="64"/>
      <c r="AQ377" s="64"/>
      <c r="AR377" s="21"/>
      <c r="AS377" s="21"/>
      <c r="AT377" s="21"/>
      <c r="AU377" s="22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</row>
    <row r="378" spans="38:59">
      <c r="AL378" s="21"/>
      <c r="AM378" s="24"/>
      <c r="AN378" s="21"/>
      <c r="AO378" s="21"/>
      <c r="AP378" s="64"/>
      <c r="AQ378" s="64"/>
      <c r="AR378" s="21"/>
      <c r="AS378" s="21"/>
      <c r="AT378" s="21"/>
      <c r="AU378" s="22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</row>
    <row r="379" spans="38:59">
      <c r="AL379" s="21"/>
      <c r="AM379" s="24"/>
      <c r="AN379" s="21"/>
      <c r="AO379" s="21"/>
      <c r="AP379" s="64"/>
      <c r="AQ379" s="64"/>
      <c r="AR379" s="21"/>
      <c r="AS379" s="21"/>
      <c r="AT379" s="21"/>
      <c r="AU379" s="22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</row>
    <row r="380" spans="38:59">
      <c r="AL380" s="21"/>
      <c r="AM380" s="24"/>
      <c r="AN380" s="21"/>
      <c r="AO380" s="21"/>
      <c r="AP380" s="64"/>
      <c r="AQ380" s="64"/>
      <c r="AR380" s="21"/>
      <c r="AS380" s="21"/>
      <c r="AT380" s="21"/>
      <c r="AU380" s="22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</row>
    <row r="381" spans="38:59">
      <c r="AL381" s="21"/>
      <c r="AM381" s="24"/>
      <c r="AN381" s="21"/>
      <c r="AO381" s="21"/>
      <c r="AP381" s="64"/>
      <c r="AQ381" s="64"/>
      <c r="AR381" s="21"/>
      <c r="AS381" s="21"/>
      <c r="AT381" s="21"/>
      <c r="AU381" s="22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</row>
    <row r="382" spans="38:59">
      <c r="AL382" s="21"/>
      <c r="AM382" s="24"/>
      <c r="AN382" s="21"/>
      <c r="AO382" s="21"/>
      <c r="AP382" s="64"/>
      <c r="AQ382" s="64"/>
      <c r="AR382" s="21"/>
      <c r="AS382" s="21"/>
      <c r="AT382" s="21"/>
      <c r="AU382" s="22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</row>
    <row r="383" spans="38:59">
      <c r="AL383" s="21"/>
      <c r="AM383" s="24"/>
      <c r="AN383" s="21"/>
      <c r="AO383" s="21"/>
      <c r="AP383" s="64"/>
      <c r="AQ383" s="64"/>
      <c r="AR383" s="21"/>
      <c r="AS383" s="21"/>
      <c r="AT383" s="21"/>
      <c r="AU383" s="22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</row>
    <row r="384" spans="38:59">
      <c r="AL384" s="21"/>
      <c r="AM384" s="24"/>
      <c r="AN384" s="21"/>
      <c r="AO384" s="21"/>
      <c r="AP384" s="64"/>
      <c r="AQ384" s="64"/>
      <c r="AR384" s="21"/>
      <c r="AS384" s="21"/>
      <c r="AT384" s="21"/>
      <c r="AU384" s="22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</row>
    <row r="385" spans="38:59">
      <c r="AL385" s="21"/>
      <c r="AM385" s="24"/>
      <c r="AN385" s="21"/>
      <c r="AO385" s="21"/>
      <c r="AP385" s="64"/>
      <c r="AQ385" s="64"/>
      <c r="AR385" s="21"/>
      <c r="AS385" s="21"/>
      <c r="AT385" s="21"/>
      <c r="AU385" s="22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</row>
    <row r="386" spans="38:59">
      <c r="AL386" s="21"/>
      <c r="AM386" s="24"/>
      <c r="AN386" s="21"/>
      <c r="AO386" s="21"/>
      <c r="AP386" s="64"/>
      <c r="AQ386" s="64"/>
      <c r="AR386" s="21"/>
      <c r="AS386" s="21"/>
      <c r="AT386" s="21"/>
      <c r="AU386" s="22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</row>
    <row r="387" spans="38:59">
      <c r="AL387" s="21"/>
      <c r="AM387" s="24"/>
      <c r="AN387" s="21"/>
      <c r="AO387" s="21"/>
      <c r="AP387" s="64"/>
      <c r="AQ387" s="64"/>
      <c r="AR387" s="21"/>
      <c r="AS387" s="21"/>
      <c r="AT387" s="21"/>
      <c r="AU387" s="22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</row>
    <row r="388" spans="38:59">
      <c r="AL388" s="21"/>
      <c r="AM388" s="24"/>
      <c r="AN388" s="21"/>
      <c r="AO388" s="21"/>
      <c r="AP388" s="64"/>
      <c r="AQ388" s="64"/>
      <c r="AR388" s="21"/>
      <c r="AS388" s="21"/>
      <c r="AT388" s="21"/>
      <c r="AU388" s="22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</row>
    <row r="389" spans="38:59">
      <c r="AL389" s="21"/>
      <c r="AM389" s="24"/>
      <c r="AN389" s="21"/>
      <c r="AO389" s="21"/>
      <c r="AP389" s="64"/>
      <c r="AQ389" s="64"/>
      <c r="AR389" s="21"/>
      <c r="AS389" s="21"/>
      <c r="AT389" s="21"/>
      <c r="AU389" s="22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</row>
    <row r="390" spans="38:59">
      <c r="AL390" s="21"/>
      <c r="AM390" s="24"/>
      <c r="AN390" s="21"/>
      <c r="AO390" s="21"/>
      <c r="AP390" s="64"/>
      <c r="AQ390" s="64"/>
      <c r="AR390" s="21"/>
      <c r="AS390" s="21"/>
      <c r="AT390" s="21"/>
      <c r="AU390" s="22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</row>
    <row r="391" spans="38:59">
      <c r="AL391" s="21"/>
      <c r="AM391" s="24"/>
      <c r="AN391" s="21"/>
      <c r="AO391" s="21"/>
      <c r="AP391" s="64"/>
      <c r="AQ391" s="64"/>
      <c r="AR391" s="21"/>
      <c r="AS391" s="21"/>
      <c r="AT391" s="21"/>
      <c r="AU391" s="22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</row>
    <row r="392" spans="38:59">
      <c r="AL392" s="21"/>
      <c r="AM392" s="24"/>
      <c r="AN392" s="21"/>
      <c r="AO392" s="21"/>
      <c r="AP392" s="64"/>
      <c r="AQ392" s="64"/>
      <c r="AR392" s="21"/>
      <c r="AS392" s="21"/>
      <c r="AT392" s="21"/>
      <c r="AU392" s="22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</row>
    <row r="393" spans="38:59">
      <c r="AL393" s="21"/>
      <c r="AM393" s="24"/>
      <c r="AN393" s="21"/>
      <c r="AO393" s="21"/>
      <c r="AP393" s="64"/>
      <c r="AQ393" s="64"/>
      <c r="AR393" s="21"/>
      <c r="AS393" s="21"/>
      <c r="AT393" s="21"/>
      <c r="AU393" s="22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</row>
    <row r="394" spans="38:59">
      <c r="AL394" s="21"/>
      <c r="AM394" s="24"/>
      <c r="AN394" s="21"/>
      <c r="AO394" s="21"/>
      <c r="AP394" s="64"/>
      <c r="AQ394" s="64"/>
      <c r="AR394" s="21"/>
      <c r="AS394" s="21"/>
      <c r="AT394" s="21"/>
      <c r="AU394" s="22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</row>
    <row r="395" spans="38:59">
      <c r="AL395" s="21"/>
      <c r="AM395" s="24"/>
      <c r="AN395" s="21"/>
      <c r="AO395" s="21"/>
      <c r="AP395" s="64"/>
      <c r="AQ395" s="64"/>
      <c r="AR395" s="21"/>
      <c r="AS395" s="21"/>
      <c r="AT395" s="21"/>
      <c r="AU395" s="22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</row>
    <row r="396" spans="38:59">
      <c r="AL396" s="21"/>
      <c r="AM396" s="24"/>
      <c r="AN396" s="21"/>
      <c r="AO396" s="21"/>
      <c r="AP396" s="64"/>
      <c r="AQ396" s="64"/>
      <c r="AR396" s="21"/>
      <c r="AS396" s="21"/>
      <c r="AT396" s="21"/>
      <c r="AU396" s="22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</row>
    <row r="397" spans="38:59">
      <c r="AL397" s="21"/>
      <c r="AM397" s="24"/>
      <c r="AN397" s="21"/>
      <c r="AO397" s="21"/>
      <c r="AP397" s="64"/>
      <c r="AQ397" s="64"/>
      <c r="AR397" s="21"/>
      <c r="AS397" s="21"/>
      <c r="AT397" s="21"/>
      <c r="AU397" s="22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</row>
    <row r="398" spans="38:59">
      <c r="AL398" s="21"/>
      <c r="AM398" s="24"/>
      <c r="AN398" s="21"/>
      <c r="AO398" s="21"/>
      <c r="AP398" s="64"/>
      <c r="AQ398" s="64"/>
      <c r="AR398" s="21"/>
      <c r="AS398" s="21"/>
      <c r="AT398" s="21"/>
      <c r="AU398" s="22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</row>
    <row r="399" spans="38:59">
      <c r="AL399" s="21"/>
      <c r="AM399" s="24"/>
      <c r="AN399" s="21"/>
      <c r="AO399" s="21"/>
      <c r="AP399" s="64"/>
      <c r="AQ399" s="64"/>
      <c r="AR399" s="21"/>
      <c r="AS399" s="21"/>
      <c r="AT399" s="21"/>
      <c r="AU399" s="22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</row>
    <row r="400" spans="38:59">
      <c r="AL400" s="21"/>
      <c r="AM400" s="24"/>
      <c r="AN400" s="21"/>
      <c r="AO400" s="21"/>
      <c r="AP400" s="64"/>
      <c r="AQ400" s="64"/>
      <c r="AR400" s="21"/>
      <c r="AS400" s="21"/>
      <c r="AT400" s="21"/>
      <c r="AU400" s="22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</row>
    <row r="401" spans="38:59">
      <c r="AL401" s="21"/>
      <c r="AM401" s="24"/>
      <c r="AN401" s="21"/>
      <c r="AO401" s="21"/>
      <c r="AP401" s="64"/>
      <c r="AQ401" s="64"/>
      <c r="AR401" s="21"/>
      <c r="AS401" s="21"/>
      <c r="AT401" s="21"/>
      <c r="AU401" s="22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</row>
    <row r="402" spans="38:59">
      <c r="AL402" s="21"/>
      <c r="AM402" s="24"/>
      <c r="AN402" s="21"/>
      <c r="AO402" s="21"/>
      <c r="AP402" s="64"/>
      <c r="AQ402" s="64"/>
      <c r="AR402" s="21"/>
      <c r="AS402" s="21"/>
      <c r="AT402" s="21"/>
      <c r="AU402" s="22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</row>
    <row r="403" spans="38:59">
      <c r="AL403" s="21"/>
      <c r="AM403" s="24"/>
      <c r="AN403" s="21"/>
      <c r="AO403" s="21"/>
      <c r="AP403" s="64"/>
      <c r="AQ403" s="64"/>
      <c r="AR403" s="21"/>
      <c r="AS403" s="21"/>
      <c r="AT403" s="21"/>
      <c r="AU403" s="22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</row>
    <row r="404" spans="38:59">
      <c r="AL404" s="21"/>
      <c r="AM404" s="24"/>
      <c r="AN404" s="21"/>
      <c r="AO404" s="21"/>
      <c r="AP404" s="64"/>
      <c r="AQ404" s="64"/>
      <c r="AR404" s="21"/>
      <c r="AS404" s="21"/>
      <c r="AT404" s="21"/>
      <c r="AU404" s="22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</row>
    <row r="405" spans="38:59">
      <c r="AL405" s="21"/>
      <c r="AM405" s="24"/>
      <c r="AN405" s="21"/>
      <c r="AO405" s="21"/>
      <c r="AP405" s="64"/>
      <c r="AQ405" s="64"/>
      <c r="AR405" s="21"/>
      <c r="AS405" s="21"/>
      <c r="AT405" s="21"/>
      <c r="AU405" s="22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</row>
    <row r="406" spans="38:59">
      <c r="AL406" s="21"/>
      <c r="AM406" s="24"/>
      <c r="AN406" s="21"/>
      <c r="AO406" s="21"/>
      <c r="AP406" s="64"/>
      <c r="AQ406" s="64"/>
      <c r="AR406" s="21"/>
      <c r="AS406" s="21"/>
      <c r="AT406" s="21"/>
      <c r="AU406" s="22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</row>
    <row r="407" spans="38:59">
      <c r="AL407" s="21"/>
      <c r="AM407" s="24"/>
      <c r="AN407" s="21"/>
      <c r="AO407" s="21"/>
      <c r="AP407" s="64"/>
      <c r="AQ407" s="64"/>
      <c r="AR407" s="21"/>
      <c r="AS407" s="21"/>
      <c r="AT407" s="21"/>
      <c r="AU407" s="22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</row>
    <row r="408" spans="38:59">
      <c r="AL408" s="21"/>
      <c r="AM408" s="24"/>
      <c r="AN408" s="21"/>
      <c r="AO408" s="21"/>
      <c r="AP408" s="64"/>
      <c r="AQ408" s="64"/>
      <c r="AR408" s="21"/>
      <c r="AS408" s="21"/>
      <c r="AT408" s="21"/>
      <c r="AU408" s="22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</row>
    <row r="409" spans="38:59">
      <c r="AL409" s="21"/>
      <c r="AM409" s="24"/>
      <c r="AN409" s="21"/>
      <c r="AO409" s="21"/>
      <c r="AP409" s="64"/>
      <c r="AQ409" s="64"/>
      <c r="AR409" s="21"/>
      <c r="AS409" s="21"/>
      <c r="AT409" s="21"/>
      <c r="AU409" s="22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</row>
    <row r="410" spans="38:59">
      <c r="AL410" s="21"/>
      <c r="AM410" s="24"/>
      <c r="AN410" s="21"/>
      <c r="AO410" s="21"/>
      <c r="AP410" s="64"/>
      <c r="AQ410" s="64"/>
      <c r="AR410" s="21"/>
      <c r="AS410" s="21"/>
      <c r="AT410" s="21"/>
      <c r="AU410" s="22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</row>
    <row r="411" spans="38:59">
      <c r="AL411" s="21"/>
      <c r="AM411" s="24"/>
      <c r="AN411" s="21"/>
      <c r="AO411" s="21"/>
      <c r="AP411" s="64"/>
      <c r="AQ411" s="64"/>
      <c r="AR411" s="21"/>
      <c r="AS411" s="21"/>
      <c r="AT411" s="21"/>
      <c r="AU411" s="22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</row>
    <row r="412" spans="38:59">
      <c r="AL412" s="21"/>
      <c r="AM412" s="24"/>
      <c r="AN412" s="21"/>
      <c r="AO412" s="21"/>
      <c r="AP412" s="64"/>
      <c r="AQ412" s="64"/>
      <c r="AR412" s="21"/>
      <c r="AS412" s="21"/>
      <c r="AT412" s="21"/>
      <c r="AU412" s="22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</row>
    <row r="413" spans="38:59">
      <c r="AL413" s="21"/>
      <c r="AM413" s="24"/>
      <c r="AN413" s="21"/>
      <c r="AO413" s="21"/>
      <c r="AP413" s="64"/>
      <c r="AQ413" s="64"/>
      <c r="AR413" s="21"/>
      <c r="AS413" s="21"/>
      <c r="AT413" s="21"/>
      <c r="AU413" s="22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</row>
    <row r="414" spans="38:59">
      <c r="AL414" s="21"/>
      <c r="AM414" s="24"/>
      <c r="AN414" s="21"/>
      <c r="AO414" s="21"/>
      <c r="AP414" s="64"/>
      <c r="AQ414" s="64"/>
      <c r="AR414" s="21"/>
      <c r="AS414" s="21"/>
      <c r="AT414" s="21"/>
      <c r="AU414" s="22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</row>
    <row r="415" spans="38:59">
      <c r="AL415" s="21"/>
      <c r="AM415" s="24"/>
      <c r="AN415" s="21"/>
      <c r="AO415" s="21"/>
      <c r="AP415" s="64"/>
      <c r="AQ415" s="64"/>
      <c r="AR415" s="21"/>
      <c r="AS415" s="21"/>
      <c r="AT415" s="21"/>
      <c r="AU415" s="22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</row>
    <row r="416" spans="38:59">
      <c r="AL416" s="21"/>
      <c r="AM416" s="24"/>
      <c r="AN416" s="21"/>
      <c r="AO416" s="21"/>
      <c r="AP416" s="64"/>
      <c r="AQ416" s="64"/>
      <c r="AR416" s="21"/>
      <c r="AS416" s="21"/>
      <c r="AT416" s="21"/>
      <c r="AU416" s="22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</row>
    <row r="417" spans="38:59">
      <c r="AL417" s="21"/>
      <c r="AM417" s="24"/>
      <c r="AN417" s="21"/>
      <c r="AO417" s="21"/>
      <c r="AP417" s="64"/>
      <c r="AQ417" s="64"/>
      <c r="AR417" s="21"/>
      <c r="AS417" s="21"/>
      <c r="AT417" s="21"/>
      <c r="AU417" s="22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</row>
    <row r="418" spans="38:59">
      <c r="AL418" s="21"/>
      <c r="AM418" s="24"/>
      <c r="AN418" s="21"/>
      <c r="AO418" s="21"/>
      <c r="AP418" s="64"/>
      <c r="AQ418" s="64"/>
      <c r="AR418" s="21"/>
      <c r="AS418" s="21"/>
      <c r="AT418" s="21"/>
      <c r="AU418" s="22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</row>
    <row r="419" spans="38:59">
      <c r="AL419" s="21"/>
      <c r="AM419" s="24"/>
      <c r="AN419" s="21"/>
      <c r="AO419" s="21"/>
      <c r="AP419" s="64"/>
      <c r="AQ419" s="64"/>
      <c r="AR419" s="21"/>
      <c r="AS419" s="21"/>
      <c r="AT419" s="21"/>
      <c r="AU419" s="22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</row>
    <row r="420" spans="38:59">
      <c r="AL420" s="21"/>
      <c r="AM420" s="24"/>
      <c r="AN420" s="21"/>
      <c r="AO420" s="21"/>
      <c r="AP420" s="64"/>
      <c r="AQ420" s="64"/>
      <c r="AR420" s="21"/>
      <c r="AS420" s="21"/>
      <c r="AT420" s="21"/>
      <c r="AU420" s="22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</row>
    <row r="421" spans="38:59">
      <c r="AL421" s="21"/>
      <c r="AM421" s="24"/>
      <c r="AN421" s="21"/>
      <c r="AO421" s="21"/>
      <c r="AP421" s="64"/>
      <c r="AQ421" s="64"/>
      <c r="AR421" s="21"/>
      <c r="AS421" s="21"/>
      <c r="AT421" s="21"/>
      <c r="AU421" s="22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</row>
    <row r="422" spans="38:59">
      <c r="AL422" s="21"/>
      <c r="AM422" s="24"/>
      <c r="AN422" s="21"/>
      <c r="AO422" s="21"/>
      <c r="AP422" s="64"/>
      <c r="AQ422" s="64"/>
      <c r="AR422" s="21"/>
      <c r="AS422" s="21"/>
      <c r="AT422" s="21"/>
      <c r="AU422" s="22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</row>
    <row r="423" spans="38:59">
      <c r="AL423" s="21"/>
      <c r="AM423" s="24"/>
      <c r="AN423" s="21"/>
      <c r="AO423" s="21"/>
      <c r="AP423" s="64"/>
      <c r="AQ423" s="64"/>
      <c r="AR423" s="21"/>
      <c r="AS423" s="21"/>
      <c r="AT423" s="21"/>
      <c r="AU423" s="22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</row>
    <row r="424" spans="38:59">
      <c r="AL424" s="21"/>
      <c r="AM424" s="24"/>
      <c r="AN424" s="21"/>
      <c r="AO424" s="21"/>
      <c r="AP424" s="64"/>
      <c r="AQ424" s="64"/>
      <c r="AR424" s="21"/>
      <c r="AS424" s="21"/>
      <c r="AT424" s="21"/>
      <c r="AU424" s="22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</row>
    <row r="425" spans="38:59">
      <c r="AL425" s="21"/>
      <c r="AM425" s="24"/>
      <c r="AN425" s="21"/>
      <c r="AO425" s="21"/>
      <c r="AP425" s="64"/>
      <c r="AQ425" s="64"/>
      <c r="AR425" s="21"/>
      <c r="AS425" s="21"/>
      <c r="AT425" s="21"/>
      <c r="AU425" s="22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</row>
    <row r="426" spans="38:59">
      <c r="AL426" s="21"/>
      <c r="AM426" s="24"/>
      <c r="AN426" s="21"/>
      <c r="AO426" s="21"/>
      <c r="AP426" s="64"/>
      <c r="AQ426" s="64"/>
      <c r="AR426" s="21"/>
      <c r="AS426" s="21"/>
      <c r="AT426" s="21"/>
      <c r="AU426" s="22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</row>
    <row r="427" spans="38:59">
      <c r="AL427" s="21"/>
      <c r="AM427" s="24"/>
      <c r="AN427" s="21"/>
      <c r="AO427" s="21"/>
      <c r="AP427" s="64"/>
      <c r="AQ427" s="64"/>
      <c r="AR427" s="21"/>
      <c r="AS427" s="21"/>
      <c r="AT427" s="21"/>
      <c r="AU427" s="22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</row>
    <row r="428" spans="38:59">
      <c r="AL428" s="21"/>
      <c r="AM428" s="24"/>
      <c r="AN428" s="21"/>
      <c r="AO428" s="21"/>
      <c r="AP428" s="64"/>
      <c r="AQ428" s="64"/>
      <c r="AR428" s="21"/>
      <c r="AS428" s="21"/>
      <c r="AT428" s="21"/>
      <c r="AU428" s="22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</row>
    <row r="429" spans="38:59">
      <c r="AL429" s="21"/>
      <c r="AM429" s="24"/>
      <c r="AN429" s="21"/>
      <c r="AO429" s="21"/>
      <c r="AP429" s="64"/>
      <c r="AQ429" s="64"/>
      <c r="AR429" s="21"/>
      <c r="AS429" s="21"/>
      <c r="AT429" s="21"/>
      <c r="AU429" s="22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</row>
    <row r="430" spans="38:59">
      <c r="AL430" s="21"/>
      <c r="AM430" s="24"/>
      <c r="AN430" s="21"/>
      <c r="AO430" s="21"/>
      <c r="AP430" s="64"/>
      <c r="AQ430" s="64"/>
      <c r="AR430" s="21"/>
      <c r="AS430" s="21"/>
      <c r="AT430" s="21"/>
      <c r="AU430" s="22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</row>
    <row r="431" spans="38:59">
      <c r="AL431" s="21"/>
      <c r="AM431" s="24"/>
      <c r="AN431" s="21"/>
      <c r="AO431" s="21"/>
      <c r="AP431" s="64"/>
      <c r="AQ431" s="64"/>
      <c r="AR431" s="21"/>
      <c r="AS431" s="21"/>
      <c r="AT431" s="21"/>
      <c r="AU431" s="22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</row>
    <row r="432" spans="38:59">
      <c r="AL432" s="21"/>
      <c r="AM432" s="24"/>
      <c r="AN432" s="21"/>
      <c r="AO432" s="21"/>
      <c r="AP432" s="64"/>
      <c r="AQ432" s="64"/>
      <c r="AR432" s="21"/>
      <c r="AS432" s="21"/>
      <c r="AT432" s="21"/>
      <c r="AU432" s="22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</row>
    <row r="433" spans="38:59">
      <c r="AL433" s="21"/>
      <c r="AM433" s="24"/>
      <c r="AN433" s="21"/>
      <c r="AO433" s="21"/>
      <c r="AP433" s="64"/>
      <c r="AQ433" s="64"/>
      <c r="AR433" s="21"/>
      <c r="AS433" s="21"/>
      <c r="AT433" s="21"/>
      <c r="AU433" s="22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</row>
    <row r="434" spans="38:59">
      <c r="AL434" s="21"/>
      <c r="AM434" s="24"/>
      <c r="AN434" s="21"/>
      <c r="AO434" s="21"/>
      <c r="AP434" s="64"/>
      <c r="AQ434" s="64"/>
      <c r="AR434" s="21"/>
      <c r="AS434" s="21"/>
      <c r="AT434" s="21"/>
      <c r="AU434" s="22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</row>
    <row r="435" spans="38:59">
      <c r="AL435" s="21"/>
      <c r="AM435" s="24"/>
      <c r="AN435" s="21"/>
      <c r="AO435" s="21"/>
      <c r="AP435" s="64"/>
      <c r="AQ435" s="64"/>
      <c r="AR435" s="21"/>
      <c r="AS435" s="21"/>
      <c r="AT435" s="21"/>
      <c r="AU435" s="22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</row>
    <row r="436" spans="38:59">
      <c r="AL436" s="21"/>
      <c r="AM436" s="24"/>
      <c r="AN436" s="21"/>
      <c r="AO436" s="21"/>
      <c r="AP436" s="64"/>
      <c r="AQ436" s="64"/>
      <c r="AR436" s="21"/>
      <c r="AS436" s="21"/>
      <c r="AT436" s="21"/>
      <c r="AU436" s="22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</row>
    <row r="437" spans="38:59">
      <c r="AL437" s="21"/>
      <c r="AM437" s="24"/>
      <c r="AN437" s="21"/>
      <c r="AO437" s="21"/>
      <c r="AP437" s="64"/>
      <c r="AQ437" s="64"/>
      <c r="AR437" s="21"/>
      <c r="AS437" s="21"/>
      <c r="AT437" s="21"/>
      <c r="AU437" s="22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</row>
    <row r="438" spans="38:59">
      <c r="AL438" s="21"/>
      <c r="AM438" s="24"/>
      <c r="AN438" s="21"/>
      <c r="AO438" s="21"/>
      <c r="AP438" s="64"/>
      <c r="AQ438" s="64"/>
      <c r="AR438" s="21"/>
      <c r="AS438" s="21"/>
      <c r="AT438" s="21"/>
      <c r="AU438" s="22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</row>
    <row r="439" spans="38:59">
      <c r="AL439" s="21"/>
      <c r="AM439" s="24"/>
      <c r="AN439" s="21"/>
      <c r="AO439" s="21"/>
      <c r="AP439" s="64"/>
      <c r="AQ439" s="64"/>
      <c r="AR439" s="21"/>
      <c r="AS439" s="21"/>
      <c r="AT439" s="21"/>
      <c r="AU439" s="22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</row>
    <row r="440" spans="38:59">
      <c r="AL440" s="21"/>
      <c r="AM440" s="24"/>
      <c r="AN440" s="21"/>
      <c r="AO440" s="21"/>
      <c r="AP440" s="64"/>
      <c r="AQ440" s="64"/>
      <c r="AR440" s="21"/>
      <c r="AS440" s="21"/>
      <c r="AT440" s="21"/>
      <c r="AU440" s="22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</row>
    <row r="441" spans="38:59">
      <c r="AL441" s="21"/>
      <c r="AM441" s="24"/>
      <c r="AN441" s="21"/>
      <c r="AO441" s="21"/>
      <c r="AP441" s="64"/>
      <c r="AQ441" s="64"/>
      <c r="AR441" s="21"/>
      <c r="AS441" s="21"/>
      <c r="AT441" s="21"/>
      <c r="AU441" s="22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</row>
    <row r="442" spans="38:59">
      <c r="AL442" s="21"/>
      <c r="AM442" s="24"/>
      <c r="AN442" s="21"/>
      <c r="AO442" s="21"/>
      <c r="AP442" s="64"/>
      <c r="AQ442" s="64"/>
      <c r="AR442" s="21"/>
      <c r="AS442" s="21"/>
      <c r="AT442" s="21"/>
      <c r="AU442" s="22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</row>
    <row r="443" spans="38:59">
      <c r="AL443" s="21"/>
      <c r="AM443" s="24"/>
      <c r="AN443" s="21"/>
      <c r="AO443" s="21"/>
      <c r="AP443" s="64"/>
      <c r="AQ443" s="64"/>
      <c r="AR443" s="21"/>
      <c r="AS443" s="21"/>
      <c r="AT443" s="21"/>
      <c r="AU443" s="22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</row>
    <row r="444" spans="38:59">
      <c r="AL444" s="21"/>
      <c r="AM444" s="24"/>
      <c r="AN444" s="21"/>
      <c r="AO444" s="21"/>
      <c r="AP444" s="64"/>
      <c r="AQ444" s="64"/>
      <c r="AR444" s="21"/>
      <c r="AS444" s="21"/>
      <c r="AT444" s="21"/>
      <c r="AU444" s="22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</row>
    <row r="445" spans="38:59">
      <c r="AL445" s="21"/>
      <c r="AM445" s="24"/>
      <c r="AN445" s="21"/>
      <c r="AO445" s="21"/>
      <c r="AP445" s="64"/>
      <c r="AQ445" s="64"/>
      <c r="AR445" s="21"/>
      <c r="AS445" s="21"/>
      <c r="AT445" s="21"/>
      <c r="AU445" s="22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</row>
    <row r="446" spans="38:59">
      <c r="AL446" s="21"/>
      <c r="AM446" s="24"/>
      <c r="AN446" s="21"/>
      <c r="AO446" s="21"/>
      <c r="AP446" s="64"/>
      <c r="AQ446" s="64"/>
      <c r="AR446" s="21"/>
      <c r="AS446" s="21"/>
      <c r="AT446" s="21"/>
      <c r="AU446" s="22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</row>
    <row r="447" spans="38:59">
      <c r="AL447" s="21"/>
      <c r="AM447" s="24"/>
      <c r="AN447" s="21"/>
      <c r="AO447" s="21"/>
      <c r="AP447" s="64"/>
      <c r="AQ447" s="64"/>
      <c r="AR447" s="21"/>
      <c r="AS447" s="21"/>
      <c r="AT447" s="21"/>
      <c r="AU447" s="22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</row>
    <row r="448" spans="38:59">
      <c r="AL448" s="21"/>
      <c r="AM448" s="24"/>
      <c r="AN448" s="21"/>
      <c r="AO448" s="21"/>
      <c r="AP448" s="64"/>
      <c r="AQ448" s="64"/>
      <c r="AR448" s="21"/>
      <c r="AS448" s="21"/>
      <c r="AT448" s="21"/>
      <c r="AU448" s="22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</row>
    <row r="449" spans="38:59">
      <c r="AL449" s="21"/>
      <c r="AM449" s="24"/>
      <c r="AN449" s="21"/>
      <c r="AO449" s="21"/>
      <c r="AP449" s="64"/>
      <c r="AQ449" s="64"/>
      <c r="AR449" s="21"/>
      <c r="AS449" s="21"/>
      <c r="AT449" s="21"/>
      <c r="AU449" s="22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</row>
    <row r="450" spans="38:59">
      <c r="AL450" s="21"/>
      <c r="AM450" s="24"/>
      <c r="AN450" s="21"/>
      <c r="AO450" s="21"/>
      <c r="AP450" s="64"/>
      <c r="AQ450" s="64"/>
      <c r="AR450" s="21"/>
      <c r="AS450" s="21"/>
      <c r="AT450" s="21"/>
      <c r="AU450" s="22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</row>
    <row r="451" spans="38:59">
      <c r="AL451" s="21"/>
      <c r="AM451" s="24"/>
      <c r="AN451" s="21"/>
      <c r="AO451" s="21"/>
      <c r="AP451" s="64"/>
      <c r="AQ451" s="64"/>
      <c r="AR451" s="21"/>
      <c r="AS451" s="21"/>
      <c r="AT451" s="21"/>
      <c r="AU451" s="22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</row>
    <row r="452" spans="38:59">
      <c r="AL452" s="21"/>
      <c r="AM452" s="24"/>
      <c r="AN452" s="21"/>
      <c r="AO452" s="21"/>
      <c r="AP452" s="64"/>
      <c r="AQ452" s="64"/>
      <c r="AR452" s="21"/>
      <c r="AS452" s="21"/>
      <c r="AT452" s="21"/>
      <c r="AU452" s="22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</row>
    <row r="453" spans="38:59">
      <c r="AL453" s="21"/>
      <c r="AM453" s="24"/>
      <c r="AN453" s="21"/>
      <c r="AO453" s="21"/>
      <c r="AP453" s="64"/>
      <c r="AQ453" s="64"/>
      <c r="AR453" s="21"/>
      <c r="AS453" s="21"/>
      <c r="AT453" s="21"/>
      <c r="AU453" s="22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</row>
    <row r="454" spans="38:59">
      <c r="AL454" s="21"/>
      <c r="AM454" s="24"/>
      <c r="AN454" s="21"/>
      <c r="AO454" s="21"/>
      <c r="AP454" s="64"/>
      <c r="AQ454" s="64"/>
      <c r="AR454" s="21"/>
      <c r="AS454" s="21"/>
      <c r="AT454" s="21"/>
      <c r="AU454" s="22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</row>
    <row r="455" spans="38:59">
      <c r="AL455" s="21"/>
      <c r="AM455" s="24"/>
      <c r="AN455" s="21"/>
      <c r="AO455" s="21"/>
      <c r="AP455" s="64"/>
      <c r="AQ455" s="64"/>
      <c r="AR455" s="21"/>
      <c r="AS455" s="21"/>
      <c r="AT455" s="21"/>
      <c r="AU455" s="22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</row>
    <row r="456" spans="38:59">
      <c r="AL456" s="21"/>
      <c r="AM456" s="24"/>
      <c r="AN456" s="21"/>
      <c r="AO456" s="21"/>
      <c r="AP456" s="64"/>
      <c r="AQ456" s="64"/>
      <c r="AR456" s="21"/>
      <c r="AS456" s="21"/>
      <c r="AT456" s="21"/>
      <c r="AU456" s="22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</row>
    <row r="457" spans="38:59">
      <c r="AL457" s="21"/>
      <c r="AM457" s="24"/>
      <c r="AN457" s="21"/>
      <c r="AO457" s="21"/>
      <c r="AP457" s="64"/>
      <c r="AQ457" s="64"/>
      <c r="AR457" s="21"/>
      <c r="AS457" s="21"/>
      <c r="AT457" s="21"/>
      <c r="AU457" s="22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</row>
    <row r="458" spans="38:59">
      <c r="AL458" s="21"/>
      <c r="AM458" s="24"/>
      <c r="AN458" s="21"/>
      <c r="AO458" s="21"/>
      <c r="AP458" s="64"/>
      <c r="AQ458" s="64"/>
      <c r="AR458" s="21"/>
      <c r="AS458" s="21"/>
      <c r="AT458" s="21"/>
      <c r="AU458" s="22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</row>
    <row r="459" spans="38:59">
      <c r="AL459" s="21"/>
      <c r="AM459" s="24"/>
      <c r="AN459" s="21"/>
      <c r="AO459" s="21"/>
      <c r="AP459" s="64"/>
      <c r="AQ459" s="64"/>
      <c r="AR459" s="21"/>
      <c r="AS459" s="21"/>
      <c r="AT459" s="21"/>
      <c r="AU459" s="22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</row>
    <row r="460" spans="38:59">
      <c r="AL460" s="21"/>
      <c r="AM460" s="24"/>
      <c r="AN460" s="21"/>
      <c r="AO460" s="21"/>
      <c r="AP460" s="64"/>
      <c r="AQ460" s="64"/>
      <c r="AR460" s="21"/>
      <c r="AS460" s="21"/>
      <c r="AT460" s="21"/>
      <c r="AU460" s="22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</row>
    <row r="461" spans="38:59">
      <c r="AL461" s="21"/>
      <c r="AM461" s="24"/>
      <c r="AN461" s="21"/>
      <c r="AO461" s="21"/>
      <c r="AP461" s="64"/>
      <c r="AQ461" s="64"/>
      <c r="AR461" s="21"/>
      <c r="AS461" s="21"/>
      <c r="AT461" s="21"/>
      <c r="AU461" s="22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</row>
    <row r="462" spans="38:59">
      <c r="AL462" s="21"/>
      <c r="AM462" s="24"/>
      <c r="AN462" s="21"/>
      <c r="AO462" s="21"/>
      <c r="AP462" s="64"/>
      <c r="AQ462" s="64"/>
      <c r="AR462" s="21"/>
      <c r="AS462" s="21"/>
      <c r="AT462" s="21"/>
      <c r="AU462" s="22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</row>
    <row r="463" spans="38:59">
      <c r="AL463" s="21"/>
      <c r="AM463" s="24"/>
      <c r="AN463" s="21"/>
      <c r="AO463" s="21"/>
      <c r="AP463" s="64"/>
      <c r="AQ463" s="64"/>
      <c r="AR463" s="21"/>
      <c r="AS463" s="21"/>
      <c r="AT463" s="21"/>
      <c r="AU463" s="22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</row>
    <row r="464" spans="38:59">
      <c r="AL464" s="21"/>
      <c r="AM464" s="24"/>
      <c r="AN464" s="21"/>
      <c r="AO464" s="21"/>
      <c r="AP464" s="64"/>
      <c r="AQ464" s="64"/>
      <c r="AR464" s="21"/>
      <c r="AS464" s="21"/>
      <c r="AT464" s="21"/>
      <c r="AU464" s="22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</row>
    <row r="465" spans="38:59">
      <c r="AL465" s="21"/>
      <c r="AM465" s="24"/>
      <c r="AN465" s="21"/>
      <c r="AO465" s="21"/>
      <c r="AP465" s="64"/>
      <c r="AQ465" s="64"/>
      <c r="AR465" s="21"/>
      <c r="AS465" s="21"/>
      <c r="AT465" s="21"/>
      <c r="AU465" s="22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</row>
    <row r="466" spans="38:59">
      <c r="AL466" s="21"/>
      <c r="AM466" s="24"/>
      <c r="AN466" s="21"/>
      <c r="AO466" s="21"/>
      <c r="AP466" s="64"/>
      <c r="AQ466" s="64"/>
      <c r="AR466" s="21"/>
      <c r="AS466" s="21"/>
      <c r="AT466" s="21"/>
      <c r="AU466" s="22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</row>
    <row r="467" spans="38:59">
      <c r="AL467" s="21"/>
      <c r="AM467" s="24"/>
      <c r="AN467" s="21"/>
      <c r="AO467" s="21"/>
      <c r="AP467" s="64"/>
      <c r="AQ467" s="64"/>
      <c r="AR467" s="21"/>
      <c r="AS467" s="21"/>
      <c r="AT467" s="21"/>
      <c r="AU467" s="22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</row>
    <row r="468" spans="38:59">
      <c r="AL468" s="21"/>
      <c r="AM468" s="24"/>
      <c r="AN468" s="21"/>
      <c r="AO468" s="21"/>
      <c r="AP468" s="64"/>
      <c r="AQ468" s="64"/>
      <c r="AR468" s="21"/>
      <c r="AS468" s="21"/>
      <c r="AT468" s="21"/>
      <c r="AU468" s="22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</row>
    <row r="469" spans="38:59">
      <c r="AL469" s="21"/>
      <c r="AM469" s="24"/>
      <c r="AN469" s="21"/>
      <c r="AO469" s="21"/>
      <c r="AP469" s="64"/>
      <c r="AQ469" s="64"/>
      <c r="AR469" s="21"/>
      <c r="AS469" s="21"/>
      <c r="AT469" s="21"/>
      <c r="AU469" s="22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</row>
    <row r="470" spans="38:59">
      <c r="AL470" s="21"/>
      <c r="AM470" s="24"/>
      <c r="AN470" s="21"/>
      <c r="AO470" s="21"/>
      <c r="AP470" s="64"/>
      <c r="AQ470" s="64"/>
      <c r="AR470" s="21"/>
      <c r="AS470" s="21"/>
      <c r="AT470" s="21"/>
      <c r="AU470" s="22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</row>
    <row r="471" spans="38:59">
      <c r="AL471" s="21"/>
      <c r="AM471" s="24"/>
      <c r="AN471" s="21"/>
      <c r="AO471" s="21"/>
      <c r="AP471" s="64"/>
      <c r="AQ471" s="64"/>
      <c r="AR471" s="21"/>
      <c r="AS471" s="21"/>
      <c r="AT471" s="21"/>
      <c r="AU471" s="22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</row>
    <row r="472" spans="38:59">
      <c r="AL472" s="21"/>
      <c r="AM472" s="24"/>
      <c r="AN472" s="21"/>
      <c r="AO472" s="21"/>
      <c r="AP472" s="64"/>
      <c r="AQ472" s="64"/>
      <c r="AR472" s="21"/>
      <c r="AS472" s="21"/>
      <c r="AT472" s="21"/>
      <c r="AU472" s="22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</row>
    <row r="473" spans="38:59">
      <c r="AL473" s="21"/>
      <c r="AM473" s="24"/>
      <c r="AN473" s="21"/>
      <c r="AO473" s="21"/>
      <c r="AP473" s="64"/>
      <c r="AQ473" s="64"/>
      <c r="AR473" s="21"/>
      <c r="AS473" s="21"/>
      <c r="AT473" s="21"/>
      <c r="AU473" s="22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</row>
    <row r="474" spans="38:59">
      <c r="AL474" s="21"/>
      <c r="AM474" s="24"/>
      <c r="AN474" s="21"/>
      <c r="AO474" s="21"/>
      <c r="AP474" s="64"/>
      <c r="AQ474" s="64"/>
      <c r="AR474" s="21"/>
      <c r="AS474" s="21"/>
      <c r="AT474" s="21"/>
      <c r="AU474" s="22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</row>
    <row r="475" spans="38:59">
      <c r="AL475" s="21"/>
      <c r="AM475" s="24"/>
      <c r="AN475" s="21"/>
      <c r="AO475" s="21"/>
      <c r="AP475" s="64"/>
      <c r="AQ475" s="64"/>
      <c r="AR475" s="21"/>
      <c r="AS475" s="21"/>
      <c r="AT475" s="21"/>
      <c r="AU475" s="22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</row>
    <row r="476" spans="38:59">
      <c r="AL476" s="21"/>
      <c r="AM476" s="24"/>
      <c r="AN476" s="21"/>
      <c r="AO476" s="21"/>
      <c r="AP476" s="64"/>
      <c r="AQ476" s="64"/>
      <c r="AR476" s="21"/>
      <c r="AS476" s="21"/>
      <c r="AT476" s="21"/>
      <c r="AU476" s="22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</row>
    <row r="477" spans="38:59">
      <c r="AL477" s="21"/>
      <c r="AM477" s="24"/>
      <c r="AN477" s="21"/>
      <c r="AO477" s="21"/>
      <c r="AP477" s="64"/>
      <c r="AQ477" s="64"/>
      <c r="AR477" s="21"/>
      <c r="AS477" s="21"/>
      <c r="AT477" s="21"/>
      <c r="AU477" s="22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</row>
    <row r="478" spans="38:59">
      <c r="AL478" s="21"/>
      <c r="AM478" s="24"/>
      <c r="AN478" s="21"/>
      <c r="AO478" s="21"/>
      <c r="AP478" s="64"/>
      <c r="AQ478" s="64"/>
      <c r="AR478" s="21"/>
      <c r="AS478" s="21"/>
      <c r="AT478" s="21"/>
      <c r="AU478" s="22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</row>
    <row r="479" spans="38:59">
      <c r="AL479" s="21"/>
      <c r="AM479" s="24"/>
      <c r="AN479" s="21"/>
      <c r="AO479" s="21"/>
      <c r="AP479" s="64"/>
      <c r="AQ479" s="64"/>
      <c r="AR479" s="21"/>
      <c r="AS479" s="21"/>
      <c r="AT479" s="21"/>
      <c r="AU479" s="22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</row>
    <row r="480" spans="38:59">
      <c r="AL480" s="21"/>
      <c r="AM480" s="24"/>
      <c r="AN480" s="21"/>
      <c r="AO480" s="21"/>
      <c r="AP480" s="64"/>
      <c r="AQ480" s="64"/>
      <c r="AR480" s="21"/>
      <c r="AS480" s="21"/>
      <c r="AT480" s="21"/>
      <c r="AU480" s="22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</row>
    <row r="481" spans="38:59">
      <c r="AL481" s="21"/>
      <c r="AM481" s="24"/>
      <c r="AN481" s="21"/>
      <c r="AO481" s="21"/>
      <c r="AP481" s="64"/>
      <c r="AQ481" s="64"/>
      <c r="AR481" s="21"/>
      <c r="AS481" s="21"/>
      <c r="AT481" s="21"/>
      <c r="AU481" s="22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</row>
    <row r="482" spans="38:59">
      <c r="AL482" s="21"/>
      <c r="AM482" s="24"/>
      <c r="AN482" s="21"/>
      <c r="AO482" s="21"/>
      <c r="AP482" s="64"/>
      <c r="AQ482" s="64"/>
      <c r="AR482" s="21"/>
      <c r="AS482" s="21"/>
      <c r="AT482" s="21"/>
      <c r="AU482" s="22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</row>
    <row r="483" spans="38:59">
      <c r="AL483" s="21"/>
      <c r="AM483" s="24"/>
      <c r="AN483" s="21"/>
      <c r="AO483" s="21"/>
      <c r="AP483" s="64"/>
      <c r="AQ483" s="64"/>
      <c r="AR483" s="21"/>
      <c r="AS483" s="21"/>
      <c r="AT483" s="21"/>
      <c r="AU483" s="22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</row>
    <row r="484" spans="38:59">
      <c r="AL484" s="21"/>
      <c r="AM484" s="24"/>
      <c r="AN484" s="21"/>
      <c r="AO484" s="21"/>
      <c r="AP484" s="64"/>
      <c r="AQ484" s="64"/>
      <c r="AR484" s="21"/>
      <c r="AS484" s="21"/>
      <c r="AT484" s="21"/>
      <c r="AU484" s="22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</row>
    <row r="485" spans="38:59">
      <c r="AL485" s="21"/>
      <c r="AM485" s="24"/>
      <c r="AN485" s="21"/>
      <c r="AO485" s="21"/>
      <c r="AP485" s="64"/>
      <c r="AQ485" s="64"/>
      <c r="AR485" s="21"/>
      <c r="AS485" s="21"/>
      <c r="AT485" s="21"/>
      <c r="AU485" s="22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</row>
    <row r="486" spans="38:59">
      <c r="AL486" s="21"/>
      <c r="AM486" s="24"/>
      <c r="AN486" s="21"/>
      <c r="AO486" s="21"/>
      <c r="AP486" s="64"/>
      <c r="AQ486" s="64"/>
      <c r="AR486" s="21"/>
      <c r="AS486" s="21"/>
      <c r="AT486" s="21"/>
      <c r="AU486" s="22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</row>
    <row r="487" spans="38:59">
      <c r="AL487" s="21"/>
      <c r="AM487" s="24"/>
      <c r="AN487" s="21"/>
      <c r="AO487" s="21"/>
      <c r="AP487" s="64"/>
      <c r="AQ487" s="64"/>
      <c r="AR487" s="21"/>
      <c r="AS487" s="21"/>
      <c r="AT487" s="21"/>
      <c r="AU487" s="22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</row>
    <row r="488" spans="38:59">
      <c r="AL488" s="21"/>
      <c r="AM488" s="24"/>
      <c r="AN488" s="21"/>
      <c r="AO488" s="21"/>
      <c r="AP488" s="64"/>
      <c r="AQ488" s="64"/>
      <c r="AR488" s="21"/>
      <c r="AS488" s="21"/>
      <c r="AT488" s="21"/>
      <c r="AU488" s="22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</row>
    <row r="489" spans="38:59">
      <c r="AL489" s="21"/>
      <c r="AM489" s="24"/>
      <c r="AN489" s="21"/>
      <c r="AO489" s="21"/>
      <c r="AP489" s="64"/>
      <c r="AQ489" s="64"/>
      <c r="AR489" s="21"/>
      <c r="AS489" s="21"/>
      <c r="AT489" s="21"/>
      <c r="AU489" s="22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</row>
    <row r="490" spans="38:59">
      <c r="AL490" s="21"/>
      <c r="AM490" s="24"/>
      <c r="AN490" s="21"/>
      <c r="AO490" s="21"/>
      <c r="AP490" s="64"/>
      <c r="AQ490" s="64"/>
      <c r="AR490" s="21"/>
      <c r="AS490" s="21"/>
      <c r="AT490" s="21"/>
      <c r="AU490" s="22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</row>
    <row r="491" spans="38:59">
      <c r="AL491" s="21"/>
      <c r="AM491" s="24"/>
      <c r="AN491" s="21"/>
      <c r="AO491" s="21"/>
      <c r="AP491" s="64"/>
      <c r="AQ491" s="64"/>
      <c r="AR491" s="21"/>
      <c r="AS491" s="21"/>
      <c r="AT491" s="21"/>
      <c r="AU491" s="22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</row>
    <row r="492" spans="38:59">
      <c r="AL492" s="21"/>
      <c r="AM492" s="24"/>
      <c r="AN492" s="21"/>
      <c r="AO492" s="21"/>
      <c r="AP492" s="64"/>
      <c r="AQ492" s="64"/>
      <c r="AR492" s="21"/>
      <c r="AS492" s="21"/>
      <c r="AT492" s="21"/>
      <c r="AU492" s="22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</row>
    <row r="493" spans="38:59">
      <c r="AL493" s="21"/>
      <c r="AM493" s="24"/>
      <c r="AN493" s="21"/>
      <c r="AO493" s="21"/>
      <c r="AP493" s="64"/>
      <c r="AQ493" s="64"/>
      <c r="AR493" s="21"/>
      <c r="AS493" s="21"/>
      <c r="AT493" s="21"/>
      <c r="AU493" s="22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</row>
    <row r="494" spans="38:59">
      <c r="AL494" s="21"/>
      <c r="AM494" s="24"/>
      <c r="AN494" s="21"/>
      <c r="AO494" s="21"/>
      <c r="AP494" s="64"/>
      <c r="AQ494" s="64"/>
      <c r="AR494" s="21"/>
      <c r="AS494" s="21"/>
      <c r="AT494" s="21"/>
      <c r="AU494" s="22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</row>
    <row r="495" spans="38:59">
      <c r="AL495" s="21"/>
      <c r="AM495" s="24"/>
      <c r="AN495" s="21"/>
      <c r="AO495" s="21"/>
      <c r="AP495" s="64"/>
      <c r="AQ495" s="64"/>
      <c r="AR495" s="21"/>
      <c r="AS495" s="21"/>
      <c r="AT495" s="21"/>
      <c r="AU495" s="22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</row>
    <row r="496" spans="38:59">
      <c r="AL496" s="21"/>
      <c r="AM496" s="24"/>
      <c r="AN496" s="21"/>
      <c r="AO496" s="21"/>
      <c r="AP496" s="64"/>
      <c r="AQ496" s="64"/>
      <c r="AR496" s="21"/>
      <c r="AS496" s="21"/>
      <c r="AT496" s="21"/>
      <c r="AU496" s="22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</row>
    <row r="497" spans="38:59">
      <c r="AL497" s="21"/>
      <c r="AM497" s="24"/>
      <c r="AN497" s="21"/>
      <c r="AO497" s="21"/>
      <c r="AP497" s="64"/>
      <c r="AQ497" s="64"/>
      <c r="AR497" s="21"/>
      <c r="AS497" s="21"/>
      <c r="AT497" s="21"/>
      <c r="AU497" s="22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</row>
    <row r="498" spans="38:59">
      <c r="AL498" s="21"/>
      <c r="AM498" s="24"/>
      <c r="AN498" s="21"/>
      <c r="AO498" s="21"/>
      <c r="AP498" s="64"/>
      <c r="AQ498" s="64"/>
      <c r="AR498" s="21"/>
      <c r="AS498" s="21"/>
      <c r="AT498" s="21"/>
      <c r="AU498" s="22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</row>
    <row r="499" spans="38:59">
      <c r="AL499" s="21"/>
      <c r="AM499" s="24"/>
      <c r="AN499" s="21"/>
      <c r="AO499" s="21"/>
      <c r="AP499" s="64"/>
      <c r="AQ499" s="64"/>
      <c r="AR499" s="21"/>
      <c r="AS499" s="21"/>
      <c r="AT499" s="21"/>
      <c r="AU499" s="22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</row>
    <row r="500" spans="38:59">
      <c r="AL500" s="21"/>
      <c r="AM500" s="24"/>
      <c r="AN500" s="21"/>
      <c r="AO500" s="21"/>
      <c r="AP500" s="64"/>
      <c r="AQ500" s="64"/>
      <c r="AR500" s="21"/>
      <c r="AS500" s="21"/>
      <c r="AT500" s="21"/>
      <c r="AU500" s="22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</row>
    <row r="501" spans="38:59">
      <c r="AL501" s="21"/>
      <c r="AM501" s="24"/>
      <c r="AN501" s="21"/>
      <c r="AO501" s="21"/>
      <c r="AP501" s="64"/>
      <c r="AQ501" s="64"/>
      <c r="AR501" s="21"/>
      <c r="AS501" s="21"/>
      <c r="AT501" s="21"/>
      <c r="AU501" s="22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</row>
    <row r="502" spans="38:59">
      <c r="AL502" s="21"/>
      <c r="AM502" s="24"/>
      <c r="AN502" s="21"/>
      <c r="AO502" s="21"/>
      <c r="AP502" s="64"/>
      <c r="AQ502" s="64"/>
      <c r="AR502" s="21"/>
      <c r="AS502" s="21"/>
      <c r="AT502" s="21"/>
      <c r="AU502" s="22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</row>
    <row r="503" spans="38:59">
      <c r="AL503" s="21"/>
      <c r="AM503" s="24"/>
      <c r="AN503" s="21"/>
      <c r="AO503" s="21"/>
      <c r="AP503" s="64"/>
      <c r="AQ503" s="64"/>
      <c r="AR503" s="21"/>
      <c r="AS503" s="21"/>
      <c r="AT503" s="21"/>
      <c r="AU503" s="22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</row>
    <row r="504" spans="38:59">
      <c r="AL504" s="21"/>
      <c r="AM504" s="24"/>
      <c r="AN504" s="21"/>
      <c r="AO504" s="21"/>
      <c r="AP504" s="64"/>
      <c r="AQ504" s="64"/>
      <c r="AR504" s="21"/>
      <c r="AS504" s="21"/>
      <c r="AT504" s="21"/>
      <c r="AU504" s="22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</row>
    <row r="505" spans="38:59">
      <c r="AL505" s="21"/>
      <c r="AM505" s="24"/>
      <c r="AN505" s="21"/>
      <c r="AO505" s="21"/>
      <c r="AP505" s="64"/>
      <c r="AQ505" s="64"/>
      <c r="AR505" s="21"/>
      <c r="AS505" s="21"/>
      <c r="AT505" s="21"/>
      <c r="AU505" s="22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</row>
    <row r="506" spans="38:59">
      <c r="AL506" s="21"/>
      <c r="AM506" s="24"/>
      <c r="AN506" s="21"/>
      <c r="AO506" s="21"/>
      <c r="AP506" s="64"/>
      <c r="AQ506" s="64"/>
      <c r="AR506" s="21"/>
      <c r="AS506" s="21"/>
      <c r="AT506" s="21"/>
      <c r="AU506" s="22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</row>
    <row r="507" spans="38:59">
      <c r="AL507" s="21"/>
      <c r="AM507" s="24"/>
      <c r="AN507" s="21"/>
      <c r="AO507" s="21"/>
      <c r="AP507" s="64"/>
      <c r="AQ507" s="64"/>
      <c r="AR507" s="21"/>
      <c r="AS507" s="21"/>
      <c r="AT507" s="21"/>
      <c r="AU507" s="22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</row>
    <row r="508" spans="38:59">
      <c r="AL508" s="21"/>
      <c r="AM508" s="24"/>
      <c r="AN508" s="21"/>
      <c r="AO508" s="21"/>
      <c r="AP508" s="64"/>
      <c r="AQ508" s="64"/>
      <c r="AR508" s="21"/>
      <c r="AS508" s="21"/>
      <c r="AT508" s="21"/>
      <c r="AU508" s="22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</row>
    <row r="509" spans="38:59">
      <c r="AL509" s="21"/>
      <c r="AM509" s="24"/>
      <c r="AN509" s="21"/>
      <c r="AO509" s="21"/>
      <c r="AP509" s="64"/>
      <c r="AQ509" s="64"/>
      <c r="AR509" s="21"/>
      <c r="AS509" s="21"/>
      <c r="AT509" s="21"/>
      <c r="AU509" s="22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</row>
    <row r="510" spans="38:59">
      <c r="AL510" s="21"/>
      <c r="AM510" s="24"/>
      <c r="AN510" s="21"/>
      <c r="AO510" s="21"/>
      <c r="AP510" s="64"/>
      <c r="AQ510" s="64"/>
      <c r="AR510" s="21"/>
      <c r="AS510" s="21"/>
      <c r="AT510" s="21"/>
      <c r="AU510" s="22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</row>
    <row r="511" spans="38:59">
      <c r="AL511" s="21"/>
      <c r="AM511" s="24"/>
      <c r="AN511" s="21"/>
      <c r="AO511" s="21"/>
      <c r="AP511" s="64"/>
      <c r="AQ511" s="64"/>
      <c r="AR511" s="21"/>
      <c r="AS511" s="21"/>
      <c r="AT511" s="21"/>
      <c r="AU511" s="22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</row>
    <row r="512" spans="38:59">
      <c r="AL512" s="21"/>
      <c r="AM512" s="24"/>
      <c r="AN512" s="21"/>
      <c r="AO512" s="21"/>
      <c r="AP512" s="64"/>
      <c r="AQ512" s="64"/>
      <c r="AR512" s="21"/>
      <c r="AS512" s="21"/>
      <c r="AT512" s="21"/>
      <c r="AU512" s="22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</row>
    <row r="513" spans="38:59">
      <c r="AL513" s="21"/>
      <c r="AM513" s="24"/>
      <c r="AN513" s="21"/>
      <c r="AO513" s="21"/>
      <c r="AP513" s="64"/>
      <c r="AQ513" s="64"/>
      <c r="AR513" s="21"/>
      <c r="AS513" s="21"/>
      <c r="AT513" s="21"/>
      <c r="AU513" s="22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</row>
    <row r="514" spans="38:59">
      <c r="AL514" s="21"/>
      <c r="AM514" s="24"/>
      <c r="AN514" s="21"/>
      <c r="AO514" s="21"/>
      <c r="AP514" s="64"/>
      <c r="AQ514" s="64"/>
      <c r="AR514" s="21"/>
      <c r="AS514" s="21"/>
      <c r="AT514" s="21"/>
      <c r="AU514" s="22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</row>
    <row r="515" spans="38:59">
      <c r="AL515" s="21"/>
      <c r="AM515" s="24"/>
      <c r="AN515" s="21"/>
      <c r="AO515" s="21"/>
      <c r="AP515" s="64"/>
      <c r="AQ515" s="64"/>
      <c r="AR515" s="21"/>
      <c r="AS515" s="21"/>
      <c r="AT515" s="21"/>
      <c r="AU515" s="22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</row>
    <row r="516" spans="38:59">
      <c r="AL516" s="21"/>
      <c r="AM516" s="24"/>
      <c r="AN516" s="21"/>
      <c r="AO516" s="21"/>
      <c r="AP516" s="64"/>
      <c r="AQ516" s="64"/>
      <c r="AR516" s="21"/>
      <c r="AS516" s="21"/>
      <c r="AT516" s="21"/>
      <c r="AU516" s="22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</row>
    <row r="517" spans="38:59">
      <c r="AL517" s="21"/>
      <c r="AM517" s="24"/>
      <c r="AN517" s="21"/>
      <c r="AO517" s="21"/>
      <c r="AP517" s="64"/>
      <c r="AQ517" s="64"/>
      <c r="AR517" s="21"/>
      <c r="AS517" s="21"/>
      <c r="AT517" s="21"/>
      <c r="AU517" s="22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</row>
    <row r="518" spans="38:59">
      <c r="AL518" s="21"/>
      <c r="AM518" s="24"/>
      <c r="AN518" s="21"/>
      <c r="AO518" s="21"/>
      <c r="AP518" s="64"/>
      <c r="AQ518" s="64"/>
      <c r="AR518" s="21"/>
      <c r="AS518" s="21"/>
      <c r="AT518" s="21"/>
      <c r="AU518" s="22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</row>
    <row r="519" spans="38:59">
      <c r="AL519" s="21"/>
      <c r="AM519" s="24"/>
      <c r="AN519" s="21"/>
      <c r="AO519" s="21"/>
      <c r="AP519" s="64"/>
      <c r="AQ519" s="64"/>
      <c r="AR519" s="21"/>
      <c r="AS519" s="21"/>
      <c r="AT519" s="21"/>
      <c r="AU519" s="22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</row>
    <row r="520" spans="38:59">
      <c r="AL520" s="21"/>
      <c r="AM520" s="24"/>
      <c r="AN520" s="21"/>
      <c r="AO520" s="21"/>
      <c r="AP520" s="64"/>
      <c r="AQ520" s="64"/>
      <c r="AR520" s="21"/>
      <c r="AS520" s="21"/>
      <c r="AT520" s="21"/>
      <c r="AU520" s="22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</row>
    <row r="521" spans="38:59">
      <c r="AL521" s="21"/>
      <c r="AM521" s="24"/>
      <c r="AN521" s="21"/>
      <c r="AO521" s="21"/>
      <c r="AP521" s="64"/>
      <c r="AQ521" s="64"/>
      <c r="AR521" s="21"/>
      <c r="AS521" s="21"/>
      <c r="AT521" s="21"/>
      <c r="AU521" s="22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</row>
    <row r="522" spans="38:59">
      <c r="AL522" s="21"/>
      <c r="AM522" s="24"/>
      <c r="AN522" s="21"/>
      <c r="AO522" s="21"/>
      <c r="AP522" s="64"/>
      <c r="AQ522" s="64"/>
      <c r="AR522" s="21"/>
      <c r="AS522" s="21"/>
      <c r="AT522" s="21"/>
      <c r="AU522" s="22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</row>
    <row r="523" spans="38:59">
      <c r="AL523" s="21"/>
      <c r="AM523" s="24"/>
      <c r="AN523" s="21"/>
      <c r="AO523" s="21"/>
      <c r="AP523" s="64"/>
      <c r="AQ523" s="64"/>
      <c r="AR523" s="21"/>
      <c r="AS523" s="21"/>
      <c r="AT523" s="21"/>
      <c r="AU523" s="22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</row>
    <row r="524" spans="38:59">
      <c r="AL524" s="21"/>
      <c r="AM524" s="24"/>
      <c r="AN524" s="21"/>
      <c r="AO524" s="21"/>
      <c r="AP524" s="64"/>
      <c r="AQ524" s="64"/>
      <c r="AR524" s="21"/>
      <c r="AS524" s="21"/>
      <c r="AT524" s="21"/>
      <c r="AU524" s="22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</row>
    <row r="525" spans="38:59">
      <c r="AL525" s="21"/>
      <c r="AM525" s="24"/>
      <c r="AN525" s="21"/>
      <c r="AO525" s="21"/>
      <c r="AP525" s="64"/>
      <c r="AQ525" s="64"/>
      <c r="AR525" s="21"/>
      <c r="AS525" s="21"/>
      <c r="AT525" s="21"/>
      <c r="AU525" s="22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</row>
    <row r="526" spans="38:59">
      <c r="AL526" s="21"/>
      <c r="AM526" s="24"/>
      <c r="AN526" s="21"/>
      <c r="AO526" s="21"/>
      <c r="AP526" s="64"/>
      <c r="AQ526" s="64"/>
      <c r="AR526" s="21"/>
      <c r="AS526" s="21"/>
      <c r="AT526" s="21"/>
      <c r="AU526" s="22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</row>
    <row r="527" spans="38:59">
      <c r="AL527" s="21"/>
      <c r="AM527" s="24"/>
      <c r="AN527" s="21"/>
      <c r="AO527" s="21"/>
      <c r="AP527" s="64"/>
      <c r="AQ527" s="64"/>
      <c r="AR527" s="21"/>
      <c r="AS527" s="21"/>
      <c r="AT527" s="21"/>
      <c r="AU527" s="22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</row>
    <row r="528" spans="38:59">
      <c r="AL528" s="21"/>
      <c r="AM528" s="24"/>
      <c r="AN528" s="21"/>
      <c r="AO528" s="21"/>
      <c r="AP528" s="64"/>
      <c r="AQ528" s="64"/>
      <c r="AR528" s="21"/>
      <c r="AS528" s="21"/>
      <c r="AT528" s="21"/>
      <c r="AU528" s="22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</row>
    <row r="529" spans="38:59">
      <c r="AL529" s="21"/>
      <c r="AM529" s="24"/>
      <c r="AN529" s="21"/>
      <c r="AO529" s="21"/>
      <c r="AP529" s="64"/>
      <c r="AQ529" s="64"/>
      <c r="AR529" s="21"/>
      <c r="AS529" s="21"/>
      <c r="AT529" s="21"/>
      <c r="AU529" s="22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</row>
    <row r="530" spans="38:59">
      <c r="AL530" s="21"/>
      <c r="AM530" s="24"/>
      <c r="AN530" s="21"/>
      <c r="AO530" s="21"/>
      <c r="AP530" s="64"/>
      <c r="AQ530" s="64"/>
      <c r="AR530" s="21"/>
      <c r="AS530" s="21"/>
      <c r="AT530" s="21"/>
      <c r="AU530" s="22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</row>
    <row r="531" spans="38:59">
      <c r="AL531" s="21"/>
      <c r="AM531" s="24"/>
      <c r="AN531" s="21"/>
      <c r="AO531" s="21"/>
      <c r="AP531" s="64"/>
      <c r="AQ531" s="64"/>
      <c r="AR531" s="21"/>
      <c r="AS531" s="21"/>
      <c r="AT531" s="21"/>
      <c r="AU531" s="22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</row>
    <row r="532" spans="38:59">
      <c r="AL532" s="21"/>
      <c r="AM532" s="24"/>
      <c r="AN532" s="21"/>
      <c r="AO532" s="21"/>
      <c r="AP532" s="64"/>
      <c r="AQ532" s="64"/>
      <c r="AR532" s="21"/>
      <c r="AS532" s="21"/>
      <c r="AT532" s="21"/>
      <c r="AU532" s="22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</row>
    <row r="533" spans="38:59">
      <c r="AL533" s="21"/>
      <c r="AM533" s="24"/>
      <c r="AN533" s="21"/>
      <c r="AO533" s="21"/>
      <c r="AP533" s="64"/>
      <c r="AQ533" s="64"/>
      <c r="AR533" s="21"/>
      <c r="AS533" s="21"/>
      <c r="AT533" s="21"/>
      <c r="AU533" s="22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</row>
    <row r="534" spans="38:59">
      <c r="AL534" s="21"/>
      <c r="AM534" s="24"/>
      <c r="AN534" s="21"/>
      <c r="AO534" s="21"/>
      <c r="AP534" s="64"/>
      <c r="AQ534" s="64"/>
      <c r="AR534" s="21"/>
      <c r="AS534" s="21"/>
      <c r="AT534" s="21"/>
      <c r="AU534" s="22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</row>
    <row r="535" spans="38:59">
      <c r="AL535" s="21"/>
      <c r="AM535" s="24"/>
      <c r="AN535" s="21"/>
      <c r="AO535" s="21"/>
      <c r="AP535" s="64"/>
      <c r="AQ535" s="64"/>
      <c r="AR535" s="21"/>
      <c r="AS535" s="21"/>
      <c r="AT535" s="21"/>
      <c r="AU535" s="22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</row>
    <row r="536" spans="38:59">
      <c r="AL536" s="21"/>
      <c r="AM536" s="24"/>
      <c r="AN536" s="21"/>
      <c r="AO536" s="21"/>
      <c r="AP536" s="64"/>
      <c r="AQ536" s="64"/>
      <c r="AR536" s="21"/>
      <c r="AS536" s="21"/>
      <c r="AT536" s="21"/>
      <c r="AU536" s="22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</row>
    <row r="537" spans="38:59">
      <c r="AL537" s="21"/>
      <c r="AM537" s="24"/>
      <c r="AN537" s="21"/>
      <c r="AO537" s="21"/>
      <c r="AP537" s="64"/>
      <c r="AQ537" s="64"/>
      <c r="AR537" s="21"/>
      <c r="AS537" s="21"/>
      <c r="AT537" s="21"/>
      <c r="AU537" s="22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</row>
    <row r="538" spans="38:59">
      <c r="AL538" s="21"/>
      <c r="AM538" s="24"/>
      <c r="AN538" s="21"/>
      <c r="AO538" s="21"/>
      <c r="AP538" s="64"/>
      <c r="AQ538" s="64"/>
      <c r="AR538" s="21"/>
      <c r="AS538" s="21"/>
      <c r="AT538" s="21"/>
      <c r="AU538" s="22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</row>
    <row r="539" spans="38:59">
      <c r="AL539" s="21"/>
      <c r="AM539" s="24"/>
      <c r="AN539" s="21"/>
      <c r="AO539" s="21"/>
      <c r="AP539" s="64"/>
      <c r="AQ539" s="64"/>
      <c r="AR539" s="21"/>
      <c r="AS539" s="21"/>
      <c r="AT539" s="21"/>
      <c r="AU539" s="22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</row>
    <row r="540" spans="38:59">
      <c r="AL540" s="21"/>
      <c r="AM540" s="24"/>
      <c r="AN540" s="21"/>
      <c r="AO540" s="21"/>
      <c r="AP540" s="64"/>
      <c r="AQ540" s="64"/>
      <c r="AR540" s="21"/>
      <c r="AS540" s="21"/>
      <c r="AT540" s="21"/>
      <c r="AU540" s="22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</row>
    <row r="541" spans="38:59">
      <c r="AL541" s="21"/>
      <c r="AM541" s="24"/>
      <c r="AN541" s="21"/>
      <c r="AO541" s="21"/>
      <c r="AP541" s="64"/>
      <c r="AQ541" s="64"/>
      <c r="AR541" s="21"/>
      <c r="AS541" s="21"/>
      <c r="AT541" s="21"/>
      <c r="AU541" s="22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</row>
    <row r="542" spans="38:59">
      <c r="AL542" s="21"/>
      <c r="AM542" s="24"/>
      <c r="AN542" s="21"/>
      <c r="AO542" s="21"/>
      <c r="AP542" s="64"/>
      <c r="AQ542" s="64"/>
      <c r="AR542" s="21"/>
      <c r="AS542" s="21"/>
      <c r="AT542" s="21"/>
      <c r="AU542" s="22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</row>
    <row r="543" spans="38:59">
      <c r="AL543" s="21"/>
      <c r="AM543" s="24"/>
      <c r="AN543" s="21"/>
      <c r="AO543" s="21"/>
      <c r="AP543" s="64"/>
      <c r="AQ543" s="64"/>
      <c r="AR543" s="21"/>
      <c r="AS543" s="21"/>
      <c r="AT543" s="21"/>
      <c r="AU543" s="22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</row>
    <row r="544" spans="38:59">
      <c r="AL544" s="21"/>
      <c r="AM544" s="24"/>
      <c r="AN544" s="21"/>
      <c r="AO544" s="21"/>
      <c r="AP544" s="64"/>
      <c r="AQ544" s="64"/>
      <c r="AR544" s="21"/>
      <c r="AS544" s="21"/>
      <c r="AT544" s="21"/>
      <c r="AU544" s="22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</row>
    <row r="545" spans="38:59">
      <c r="AL545" s="21"/>
      <c r="AM545" s="24"/>
      <c r="AN545" s="21"/>
      <c r="AO545" s="21"/>
      <c r="AP545" s="64"/>
      <c r="AQ545" s="64"/>
      <c r="AR545" s="21"/>
      <c r="AS545" s="21"/>
      <c r="AT545" s="21"/>
      <c r="AU545" s="22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</row>
    <row r="546" spans="38:59">
      <c r="AL546" s="21"/>
      <c r="AM546" s="24"/>
      <c r="AN546" s="21"/>
      <c r="AO546" s="21"/>
      <c r="AP546" s="64"/>
      <c r="AQ546" s="64"/>
      <c r="AR546" s="21"/>
      <c r="AS546" s="21"/>
      <c r="AT546" s="21"/>
      <c r="AU546" s="22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</row>
    <row r="547" spans="38:59">
      <c r="AL547" s="21"/>
      <c r="AM547" s="24"/>
      <c r="AN547" s="21"/>
      <c r="AO547" s="21"/>
      <c r="AP547" s="64"/>
      <c r="AQ547" s="64"/>
      <c r="AR547" s="21"/>
      <c r="AS547" s="21"/>
      <c r="AT547" s="21"/>
      <c r="AU547" s="22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</row>
    <row r="548" spans="38:59">
      <c r="AL548" s="21"/>
      <c r="AM548" s="24"/>
      <c r="AN548" s="21"/>
      <c r="AO548" s="21"/>
      <c r="AP548" s="64"/>
      <c r="AQ548" s="64"/>
      <c r="AR548" s="21"/>
      <c r="AS548" s="21"/>
      <c r="AT548" s="21"/>
      <c r="AU548" s="22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</row>
    <row r="549" spans="38:59">
      <c r="AL549" s="21"/>
      <c r="AM549" s="24"/>
      <c r="AN549" s="21"/>
      <c r="AO549" s="21"/>
      <c r="AP549" s="64"/>
      <c r="AQ549" s="64"/>
      <c r="AR549" s="21"/>
      <c r="AS549" s="21"/>
      <c r="AT549" s="21"/>
      <c r="AU549" s="22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</row>
    <row r="550" spans="38:59">
      <c r="AL550" s="21"/>
      <c r="AM550" s="24"/>
      <c r="AN550" s="21"/>
      <c r="AO550" s="21"/>
      <c r="AP550" s="64"/>
      <c r="AQ550" s="64"/>
      <c r="AR550" s="21"/>
      <c r="AS550" s="21"/>
      <c r="AT550" s="21"/>
      <c r="AU550" s="22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</row>
    <row r="551" spans="38:59">
      <c r="AL551" s="21"/>
      <c r="AM551" s="24"/>
      <c r="AN551" s="21"/>
      <c r="AO551" s="21"/>
      <c r="AP551" s="64"/>
      <c r="AQ551" s="64"/>
      <c r="AR551" s="21"/>
      <c r="AS551" s="21"/>
      <c r="AT551" s="21"/>
      <c r="AU551" s="22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</row>
    <row r="552" spans="38:59">
      <c r="AL552" s="21"/>
      <c r="AM552" s="24"/>
      <c r="AN552" s="21"/>
      <c r="AO552" s="21"/>
      <c r="AP552" s="64"/>
      <c r="AQ552" s="64"/>
      <c r="AR552" s="21"/>
      <c r="AS552" s="21"/>
      <c r="AT552" s="21"/>
      <c r="AU552" s="22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</row>
    <row r="553" spans="38:59">
      <c r="AL553" s="21"/>
      <c r="AM553" s="24"/>
      <c r="AN553" s="21"/>
      <c r="AO553" s="21"/>
      <c r="AP553" s="64"/>
      <c r="AQ553" s="64"/>
      <c r="AR553" s="21"/>
      <c r="AS553" s="21"/>
      <c r="AT553" s="21"/>
      <c r="AU553" s="22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</row>
    <row r="554" spans="38:59">
      <c r="AL554" s="21"/>
      <c r="AM554" s="24"/>
      <c r="AN554" s="21"/>
      <c r="AO554" s="21"/>
      <c r="AP554" s="64"/>
      <c r="AQ554" s="64"/>
      <c r="AR554" s="21"/>
      <c r="AS554" s="21"/>
      <c r="AT554" s="21"/>
      <c r="AU554" s="22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</row>
    <row r="555" spans="38:59">
      <c r="AL555" s="21"/>
      <c r="AM555" s="24"/>
      <c r="AN555" s="21"/>
      <c r="AO555" s="21"/>
      <c r="AP555" s="64"/>
      <c r="AQ555" s="64"/>
      <c r="AR555" s="21"/>
      <c r="AS555" s="21"/>
      <c r="AT555" s="21"/>
      <c r="AU555" s="22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</row>
    <row r="556" spans="38:59">
      <c r="AL556" s="21"/>
      <c r="AM556" s="24"/>
      <c r="AN556" s="21"/>
      <c r="AO556" s="21"/>
      <c r="AP556" s="64"/>
      <c r="AQ556" s="64"/>
      <c r="AR556" s="21"/>
      <c r="AS556" s="21"/>
      <c r="AT556" s="21"/>
      <c r="AU556" s="22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</row>
    <row r="557" spans="38:59">
      <c r="AL557" s="21"/>
      <c r="AM557" s="24"/>
      <c r="AN557" s="21"/>
      <c r="AO557" s="21"/>
      <c r="AP557" s="64"/>
      <c r="AQ557" s="64"/>
      <c r="AR557" s="21"/>
      <c r="AS557" s="21"/>
      <c r="AT557" s="21"/>
      <c r="AU557" s="22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</row>
    <row r="558" spans="38:59">
      <c r="AL558" s="21"/>
      <c r="AM558" s="24"/>
      <c r="AN558" s="21"/>
      <c r="AO558" s="21"/>
      <c r="AP558" s="64"/>
      <c r="AQ558" s="64"/>
      <c r="AR558" s="21"/>
      <c r="AS558" s="21"/>
      <c r="AT558" s="21"/>
      <c r="AU558" s="22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</row>
    <row r="559" spans="38:59">
      <c r="AL559" s="21"/>
      <c r="AM559" s="24"/>
      <c r="AN559" s="21"/>
      <c r="AO559" s="21"/>
      <c r="AP559" s="64"/>
      <c r="AQ559" s="64"/>
      <c r="AR559" s="21"/>
      <c r="AS559" s="21"/>
      <c r="AT559" s="21"/>
      <c r="AU559" s="22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</row>
    <row r="560" spans="38:59">
      <c r="AL560" s="21"/>
      <c r="AM560" s="24"/>
      <c r="AN560" s="21"/>
      <c r="AO560" s="21"/>
      <c r="AP560" s="64"/>
      <c r="AQ560" s="64"/>
      <c r="AR560" s="21"/>
      <c r="AS560" s="21"/>
      <c r="AT560" s="21"/>
      <c r="AU560" s="22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</row>
    <row r="561" spans="38:59">
      <c r="AL561" s="21"/>
      <c r="AM561" s="24"/>
      <c r="AN561" s="21"/>
      <c r="AO561" s="21"/>
      <c r="AP561" s="64"/>
      <c r="AQ561" s="64"/>
      <c r="AR561" s="21"/>
      <c r="AS561" s="21"/>
      <c r="AT561" s="21"/>
      <c r="AU561" s="22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</row>
    <row r="562" spans="38:59">
      <c r="AL562" s="21"/>
      <c r="AM562" s="24"/>
      <c r="AN562" s="21"/>
      <c r="AO562" s="21"/>
      <c r="AP562" s="64"/>
      <c r="AQ562" s="64"/>
      <c r="AR562" s="21"/>
      <c r="AS562" s="21"/>
      <c r="AT562" s="21"/>
      <c r="AU562" s="22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</row>
    <row r="563" spans="38:59">
      <c r="AL563" s="21"/>
      <c r="AM563" s="24"/>
      <c r="AN563" s="21"/>
      <c r="AO563" s="21"/>
      <c r="AP563" s="64"/>
      <c r="AQ563" s="64"/>
      <c r="AR563" s="21"/>
      <c r="AS563" s="21"/>
      <c r="AT563" s="21"/>
      <c r="AU563" s="22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</row>
    <row r="564" spans="38:59">
      <c r="AL564" s="21"/>
      <c r="AM564" s="24"/>
      <c r="AN564" s="21"/>
      <c r="AO564" s="21"/>
      <c r="AP564" s="64"/>
      <c r="AQ564" s="64"/>
      <c r="AR564" s="21"/>
      <c r="AS564" s="21"/>
      <c r="AT564" s="21"/>
      <c r="AU564" s="22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</row>
    <row r="565" spans="38:59">
      <c r="AL565" s="21"/>
      <c r="AM565" s="24"/>
      <c r="AN565" s="21"/>
      <c r="AO565" s="21"/>
      <c r="AP565" s="64"/>
      <c r="AQ565" s="64"/>
      <c r="AR565" s="21"/>
      <c r="AS565" s="21"/>
      <c r="AT565" s="21"/>
      <c r="AU565" s="22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</row>
    <row r="566" spans="38:59">
      <c r="AL566" s="21"/>
      <c r="AM566" s="24"/>
      <c r="AN566" s="21"/>
      <c r="AO566" s="21"/>
      <c r="AP566" s="64"/>
      <c r="AQ566" s="64"/>
      <c r="AR566" s="21"/>
      <c r="AS566" s="21"/>
      <c r="AT566" s="21"/>
      <c r="AU566" s="22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</row>
    <row r="567" spans="38:59">
      <c r="AL567" s="21"/>
      <c r="AM567" s="24"/>
      <c r="AN567" s="21"/>
      <c r="AO567" s="21"/>
      <c r="AP567" s="64"/>
      <c r="AQ567" s="64"/>
      <c r="AR567" s="21"/>
      <c r="AS567" s="21"/>
      <c r="AT567" s="21"/>
      <c r="AU567" s="22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</row>
    <row r="568" spans="38:59">
      <c r="AL568" s="21"/>
      <c r="AM568" s="24"/>
      <c r="AN568" s="21"/>
      <c r="AO568" s="21"/>
      <c r="AP568" s="64"/>
      <c r="AQ568" s="64"/>
      <c r="AR568" s="21"/>
      <c r="AS568" s="21"/>
      <c r="AT568" s="21"/>
      <c r="AU568" s="22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</row>
    <row r="569" spans="38:59">
      <c r="AL569" s="21"/>
      <c r="AM569" s="24"/>
      <c r="AN569" s="21"/>
      <c r="AO569" s="21"/>
      <c r="AP569" s="64"/>
      <c r="AQ569" s="64"/>
      <c r="AR569" s="21"/>
      <c r="AS569" s="21"/>
      <c r="AT569" s="21"/>
      <c r="AU569" s="22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</row>
    <row r="570" spans="38:59">
      <c r="AL570" s="21"/>
      <c r="AM570" s="24"/>
      <c r="AN570" s="21"/>
      <c r="AO570" s="21"/>
      <c r="AP570" s="64"/>
      <c r="AQ570" s="64"/>
      <c r="AR570" s="21"/>
      <c r="AS570" s="21"/>
      <c r="AT570" s="21"/>
      <c r="AU570" s="22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</row>
    <row r="571" spans="38:59">
      <c r="AL571" s="21"/>
      <c r="AM571" s="24"/>
      <c r="AN571" s="21"/>
      <c r="AO571" s="21"/>
      <c r="AP571" s="64"/>
      <c r="AQ571" s="64"/>
      <c r="AR571" s="21"/>
      <c r="AS571" s="21"/>
      <c r="AT571" s="21"/>
      <c r="AU571" s="22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</row>
    <row r="572" spans="38:59">
      <c r="AL572" s="21"/>
      <c r="AM572" s="24"/>
      <c r="AN572" s="21"/>
      <c r="AO572" s="21"/>
      <c r="AP572" s="64"/>
      <c r="AQ572" s="64"/>
      <c r="AR572" s="21"/>
      <c r="AS572" s="21"/>
      <c r="AT572" s="21"/>
      <c r="AU572" s="22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</row>
    <row r="573" spans="38:59">
      <c r="AL573" s="21"/>
      <c r="AM573" s="24"/>
      <c r="AN573" s="21"/>
      <c r="AO573" s="21"/>
      <c r="AP573" s="64"/>
      <c r="AQ573" s="64"/>
      <c r="AR573" s="21"/>
      <c r="AS573" s="21"/>
      <c r="AT573" s="21"/>
      <c r="AU573" s="22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</row>
    <row r="574" spans="38:59">
      <c r="AL574" s="21"/>
      <c r="AM574" s="24"/>
      <c r="AN574" s="21"/>
      <c r="AO574" s="21"/>
      <c r="AP574" s="64"/>
      <c r="AQ574" s="64"/>
      <c r="AR574" s="21"/>
      <c r="AS574" s="21"/>
      <c r="AT574" s="21"/>
      <c r="AU574" s="22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</row>
    <row r="575" spans="38:59">
      <c r="AL575" s="21"/>
      <c r="AM575" s="24"/>
      <c r="AN575" s="21"/>
      <c r="AO575" s="21"/>
      <c r="AP575" s="64"/>
      <c r="AQ575" s="64"/>
      <c r="AR575" s="21"/>
      <c r="AS575" s="21"/>
      <c r="AT575" s="21"/>
      <c r="AU575" s="22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</row>
    <row r="576" spans="38:59">
      <c r="AL576" s="21"/>
      <c r="AM576" s="24"/>
      <c r="AN576" s="21"/>
      <c r="AO576" s="21"/>
      <c r="AP576" s="64"/>
      <c r="AQ576" s="64"/>
      <c r="AR576" s="21"/>
      <c r="AS576" s="21"/>
      <c r="AT576" s="21"/>
      <c r="AU576" s="22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</row>
    <row r="577" spans="38:59">
      <c r="AL577" s="21"/>
      <c r="AM577" s="24"/>
      <c r="AN577" s="21"/>
      <c r="AO577" s="21"/>
      <c r="AP577" s="64"/>
      <c r="AQ577" s="64"/>
      <c r="AR577" s="21"/>
      <c r="AS577" s="21"/>
      <c r="AT577" s="21"/>
      <c r="AU577" s="22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</row>
    <row r="578" spans="38:59">
      <c r="AL578" s="21"/>
      <c r="AM578" s="24"/>
      <c r="AN578" s="21"/>
      <c r="AO578" s="21"/>
      <c r="AP578" s="64"/>
      <c r="AQ578" s="64"/>
      <c r="AR578" s="21"/>
      <c r="AS578" s="21"/>
      <c r="AT578" s="21"/>
      <c r="AU578" s="22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</row>
    <row r="579" spans="38:59">
      <c r="AL579" s="21"/>
      <c r="AM579" s="24"/>
      <c r="AN579" s="21"/>
      <c r="AO579" s="21"/>
      <c r="AP579" s="64"/>
      <c r="AQ579" s="64"/>
      <c r="AR579" s="21"/>
      <c r="AS579" s="21"/>
      <c r="AT579" s="21"/>
      <c r="AU579" s="22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</row>
    <row r="580" spans="38:59">
      <c r="AL580" s="21"/>
      <c r="AM580" s="24"/>
      <c r="AN580" s="21"/>
      <c r="AO580" s="21"/>
      <c r="AP580" s="64"/>
      <c r="AQ580" s="64"/>
      <c r="AR580" s="21"/>
      <c r="AS580" s="21"/>
      <c r="AT580" s="21"/>
      <c r="AU580" s="22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</row>
    <row r="581" spans="38:59">
      <c r="AL581" s="21"/>
      <c r="AM581" s="24"/>
      <c r="AN581" s="21"/>
      <c r="AO581" s="21"/>
      <c r="AP581" s="64"/>
      <c r="AQ581" s="64"/>
      <c r="AR581" s="21"/>
      <c r="AS581" s="21"/>
      <c r="AT581" s="21"/>
      <c r="AU581" s="22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</row>
    <row r="582" spans="38:59">
      <c r="AL582" s="21"/>
      <c r="AM582" s="24"/>
      <c r="AN582" s="21"/>
      <c r="AO582" s="21"/>
      <c r="AP582" s="64"/>
      <c r="AQ582" s="64"/>
      <c r="AR582" s="21"/>
      <c r="AS582" s="21"/>
      <c r="AT582" s="21"/>
      <c r="AU582" s="22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</row>
    <row r="583" spans="38:59">
      <c r="AL583" s="21"/>
      <c r="AM583" s="24"/>
      <c r="AN583" s="21"/>
      <c r="AO583" s="21"/>
      <c r="AP583" s="64"/>
      <c r="AQ583" s="64"/>
      <c r="AR583" s="21"/>
      <c r="AS583" s="21"/>
      <c r="AT583" s="21"/>
      <c r="AU583" s="22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</row>
    <row r="584" spans="38:59">
      <c r="AL584" s="21"/>
      <c r="AM584" s="24"/>
      <c r="AN584" s="21"/>
      <c r="AO584" s="21"/>
      <c r="AP584" s="64"/>
      <c r="AQ584" s="64"/>
      <c r="AR584" s="21"/>
      <c r="AS584" s="21"/>
      <c r="AT584" s="21"/>
      <c r="AU584" s="22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</row>
    <row r="585" spans="38:59">
      <c r="AL585" s="21"/>
      <c r="AM585" s="24"/>
      <c r="AN585" s="21"/>
      <c r="AO585" s="21"/>
      <c r="AP585" s="64"/>
      <c r="AQ585" s="64"/>
      <c r="AR585" s="21"/>
      <c r="AS585" s="21"/>
      <c r="AT585" s="21"/>
      <c r="AU585" s="22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</row>
    <row r="586" spans="38:59">
      <c r="AL586" s="21"/>
      <c r="AM586" s="24"/>
      <c r="AN586" s="21"/>
      <c r="AO586" s="21"/>
      <c r="AP586" s="64"/>
      <c r="AQ586" s="64"/>
      <c r="AR586" s="21"/>
      <c r="AS586" s="21"/>
      <c r="AT586" s="21"/>
      <c r="AU586" s="22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</row>
    <row r="587" spans="38:59">
      <c r="AL587" s="21"/>
      <c r="AM587" s="24"/>
      <c r="AN587" s="21"/>
      <c r="AO587" s="21"/>
      <c r="AP587" s="64"/>
      <c r="AQ587" s="64"/>
      <c r="AR587" s="21"/>
      <c r="AS587" s="21"/>
      <c r="AT587" s="21"/>
      <c r="AU587" s="22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</row>
    <row r="588" spans="38:59">
      <c r="AL588" s="21"/>
      <c r="AM588" s="24"/>
      <c r="AN588" s="21"/>
      <c r="AO588" s="21"/>
      <c r="AP588" s="64"/>
      <c r="AQ588" s="64"/>
      <c r="AR588" s="21"/>
      <c r="AS588" s="21"/>
      <c r="AT588" s="21"/>
      <c r="AU588" s="22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</row>
    <row r="589" spans="38:59">
      <c r="AL589" s="21"/>
      <c r="AM589" s="24"/>
      <c r="AN589" s="21"/>
      <c r="AO589" s="21"/>
      <c r="AP589" s="64"/>
      <c r="AQ589" s="64"/>
      <c r="AR589" s="21"/>
      <c r="AS589" s="21"/>
      <c r="AT589" s="21"/>
      <c r="AU589" s="22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</row>
    <row r="590" spans="38:59">
      <c r="AL590" s="21"/>
      <c r="AM590" s="24"/>
      <c r="AN590" s="21"/>
      <c r="AO590" s="21"/>
      <c r="AP590" s="64"/>
      <c r="AQ590" s="64"/>
      <c r="AR590" s="21"/>
      <c r="AS590" s="21"/>
      <c r="AT590" s="21"/>
      <c r="AU590" s="22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</row>
    <row r="591" spans="38:59">
      <c r="AL591" s="21"/>
      <c r="AM591" s="24"/>
      <c r="AN591" s="21"/>
      <c r="AO591" s="21"/>
      <c r="AP591" s="64"/>
      <c r="AQ591" s="64"/>
      <c r="AR591" s="21"/>
      <c r="AS591" s="21"/>
      <c r="AT591" s="21"/>
      <c r="AU591" s="22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</row>
    <row r="592" spans="38:59">
      <c r="AL592" s="21"/>
      <c r="AM592" s="24"/>
      <c r="AN592" s="21"/>
      <c r="AO592" s="21"/>
      <c r="AP592" s="64"/>
      <c r="AQ592" s="64"/>
      <c r="AR592" s="21"/>
      <c r="AS592" s="21"/>
      <c r="AT592" s="21"/>
      <c r="AU592" s="22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</row>
    <row r="593" spans="38:59">
      <c r="AL593" s="21"/>
      <c r="AM593" s="24"/>
      <c r="AN593" s="21"/>
      <c r="AO593" s="21"/>
      <c r="AP593" s="64"/>
      <c r="AQ593" s="64"/>
      <c r="AR593" s="21"/>
      <c r="AS593" s="21"/>
      <c r="AT593" s="21"/>
      <c r="AU593" s="22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</row>
    <row r="594" spans="38:59">
      <c r="AL594" s="21"/>
      <c r="AM594" s="24"/>
      <c r="AN594" s="21"/>
      <c r="AO594" s="21"/>
      <c r="AP594" s="64"/>
      <c r="AQ594" s="64"/>
      <c r="AR594" s="21"/>
      <c r="AS594" s="21"/>
      <c r="AT594" s="21"/>
      <c r="AU594" s="22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</row>
    <row r="595" spans="38:59">
      <c r="AL595" s="21"/>
      <c r="AM595" s="24"/>
      <c r="AN595" s="21"/>
      <c r="AO595" s="21"/>
      <c r="AP595" s="64"/>
      <c r="AQ595" s="64"/>
      <c r="AR595" s="21"/>
      <c r="AS595" s="21"/>
      <c r="AT595" s="21"/>
      <c r="AU595" s="22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</row>
    <row r="596" spans="38:59">
      <c r="AL596" s="21"/>
      <c r="AM596" s="24"/>
      <c r="AN596" s="21"/>
      <c r="AO596" s="21"/>
      <c r="AP596" s="64"/>
      <c r="AQ596" s="64"/>
      <c r="AR596" s="21"/>
      <c r="AS596" s="21"/>
      <c r="AT596" s="21"/>
      <c r="AU596" s="22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</row>
    <row r="597" spans="38:59">
      <c r="AL597" s="21"/>
      <c r="AM597" s="24"/>
      <c r="AN597" s="21"/>
      <c r="AO597" s="21"/>
      <c r="AP597" s="64"/>
      <c r="AQ597" s="64"/>
      <c r="AR597" s="21"/>
      <c r="AS597" s="21"/>
      <c r="AT597" s="21"/>
      <c r="AU597" s="22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</row>
    <row r="598" spans="38:59">
      <c r="AL598" s="21"/>
      <c r="AM598" s="24"/>
      <c r="AN598" s="21"/>
      <c r="AO598" s="21"/>
      <c r="AP598" s="64"/>
      <c r="AQ598" s="64"/>
      <c r="AR598" s="21"/>
      <c r="AS598" s="21"/>
      <c r="AT598" s="21"/>
      <c r="AU598" s="22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</row>
    <row r="599" spans="38:59">
      <c r="AL599" s="21"/>
      <c r="AM599" s="24"/>
      <c r="AN599" s="21"/>
      <c r="AO599" s="21"/>
      <c r="AP599" s="64"/>
      <c r="AQ599" s="64"/>
      <c r="AR599" s="21"/>
      <c r="AS599" s="21"/>
      <c r="AT599" s="21"/>
      <c r="AU599" s="22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</row>
    <row r="600" spans="38:59">
      <c r="AL600" s="21"/>
      <c r="AM600" s="24"/>
      <c r="AN600" s="21"/>
      <c r="AO600" s="21"/>
      <c r="AP600" s="64"/>
      <c r="AQ600" s="64"/>
      <c r="AR600" s="21"/>
      <c r="AS600" s="21"/>
      <c r="AT600" s="21"/>
      <c r="AU600" s="22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</row>
    <row r="601" spans="38:59">
      <c r="AL601" s="21"/>
      <c r="AM601" s="24"/>
      <c r="AN601" s="21"/>
      <c r="AO601" s="21"/>
      <c r="AP601" s="64"/>
      <c r="AQ601" s="64"/>
      <c r="AR601" s="21"/>
      <c r="AS601" s="21"/>
      <c r="AT601" s="21"/>
      <c r="AU601" s="22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</row>
    <row r="602" spans="38:59">
      <c r="AL602" s="21"/>
      <c r="AM602" s="24"/>
      <c r="AN602" s="21"/>
      <c r="AO602" s="21"/>
      <c r="AP602" s="64"/>
      <c r="AQ602" s="64"/>
      <c r="AR602" s="21"/>
      <c r="AS602" s="21"/>
      <c r="AT602" s="21"/>
      <c r="AU602" s="22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</row>
    <row r="603" spans="38:59">
      <c r="AL603" s="21"/>
      <c r="AM603" s="24"/>
      <c r="AN603" s="21"/>
      <c r="AO603" s="21"/>
      <c r="AP603" s="64"/>
      <c r="AQ603" s="64"/>
      <c r="AR603" s="21"/>
      <c r="AS603" s="21"/>
      <c r="AT603" s="21"/>
      <c r="AU603" s="22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</row>
    <row r="604" spans="38:59">
      <c r="AL604" s="21"/>
      <c r="AM604" s="24"/>
      <c r="AN604" s="21"/>
      <c r="AO604" s="21"/>
      <c r="AP604" s="64"/>
      <c r="AQ604" s="64"/>
      <c r="AR604" s="21"/>
      <c r="AS604" s="21"/>
      <c r="AT604" s="21"/>
      <c r="AU604" s="22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</row>
    <row r="605" spans="38:59">
      <c r="AL605" s="21"/>
      <c r="AM605" s="24"/>
      <c r="AN605" s="21"/>
      <c r="AO605" s="21"/>
      <c r="AP605" s="64"/>
      <c r="AQ605" s="64"/>
      <c r="AR605" s="21"/>
      <c r="AS605" s="21"/>
      <c r="AT605" s="21"/>
      <c r="AU605" s="22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</row>
    <row r="606" spans="38:59">
      <c r="AL606" s="21"/>
      <c r="AM606" s="24"/>
      <c r="AN606" s="21"/>
      <c r="AO606" s="21"/>
      <c r="AP606" s="64"/>
      <c r="AQ606" s="64"/>
      <c r="AR606" s="21"/>
      <c r="AS606" s="21"/>
      <c r="AT606" s="21"/>
      <c r="AU606" s="22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</row>
    <row r="607" spans="38:59">
      <c r="AL607" s="21"/>
      <c r="AM607" s="24"/>
      <c r="AN607" s="21"/>
      <c r="AO607" s="21"/>
      <c r="AP607" s="64"/>
      <c r="AQ607" s="64"/>
      <c r="AR607" s="21"/>
      <c r="AS607" s="21"/>
      <c r="AT607" s="21"/>
      <c r="AU607" s="22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</row>
    <row r="608" spans="38:59">
      <c r="AL608" s="21"/>
      <c r="AM608" s="24"/>
      <c r="AN608" s="21"/>
      <c r="AO608" s="21"/>
      <c r="AP608" s="64"/>
      <c r="AQ608" s="64"/>
      <c r="AR608" s="21"/>
      <c r="AS608" s="21"/>
      <c r="AT608" s="21"/>
      <c r="AU608" s="22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</row>
    <row r="609" spans="38:59">
      <c r="AL609" s="21"/>
      <c r="AM609" s="24"/>
      <c r="AN609" s="21"/>
      <c r="AO609" s="21"/>
      <c r="AP609" s="64"/>
      <c r="AQ609" s="64"/>
      <c r="AR609" s="21"/>
      <c r="AS609" s="21"/>
      <c r="AT609" s="21"/>
      <c r="AU609" s="22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</row>
    <row r="610" spans="38:59">
      <c r="AL610" s="21"/>
      <c r="AM610" s="24"/>
      <c r="AN610" s="21"/>
      <c r="AO610" s="21"/>
      <c r="AP610" s="64"/>
      <c r="AQ610" s="64"/>
      <c r="AR610" s="21"/>
      <c r="AS610" s="21"/>
      <c r="AT610" s="21"/>
      <c r="AU610" s="22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</row>
    <row r="611" spans="38:59">
      <c r="AL611" s="21"/>
      <c r="AM611" s="24"/>
      <c r="AN611" s="21"/>
      <c r="AO611" s="21"/>
      <c r="AP611" s="64"/>
      <c r="AQ611" s="64"/>
      <c r="AR611" s="21"/>
      <c r="AS611" s="21"/>
      <c r="AT611" s="21"/>
      <c r="AU611" s="22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</row>
    <row r="612" spans="38:59">
      <c r="AL612" s="21"/>
      <c r="AM612" s="24"/>
      <c r="AN612" s="21"/>
      <c r="AO612" s="21"/>
      <c r="AP612" s="64"/>
      <c r="AQ612" s="64"/>
      <c r="AR612" s="21"/>
      <c r="AS612" s="21"/>
      <c r="AT612" s="21"/>
      <c r="AU612" s="22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</row>
    <row r="613" spans="38:59">
      <c r="AL613" s="21"/>
      <c r="AM613" s="24"/>
      <c r="AN613" s="21"/>
      <c r="AO613" s="21"/>
      <c r="AP613" s="64"/>
      <c r="AQ613" s="64"/>
      <c r="AR613" s="21"/>
      <c r="AS613" s="21"/>
      <c r="AT613" s="21"/>
      <c r="AU613" s="22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</row>
    <row r="614" spans="38:59">
      <c r="AL614" s="21"/>
      <c r="AM614" s="24"/>
      <c r="AN614" s="21"/>
      <c r="AO614" s="21"/>
      <c r="AP614" s="64"/>
      <c r="AQ614" s="64"/>
      <c r="AR614" s="21"/>
      <c r="AS614" s="21"/>
      <c r="AT614" s="21"/>
      <c r="AU614" s="22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</row>
    <row r="615" spans="38:59">
      <c r="AL615" s="21"/>
      <c r="AM615" s="24"/>
      <c r="AN615" s="21"/>
      <c r="AO615" s="21"/>
      <c r="AP615" s="64"/>
      <c r="AQ615" s="64"/>
      <c r="AR615" s="21"/>
      <c r="AS615" s="21"/>
      <c r="AT615" s="21"/>
      <c r="AU615" s="22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</row>
    <row r="616" spans="38:59">
      <c r="AL616" s="21"/>
      <c r="AM616" s="24"/>
      <c r="AN616" s="21"/>
      <c r="AO616" s="21"/>
      <c r="AP616" s="64"/>
      <c r="AQ616" s="64"/>
      <c r="AR616" s="21"/>
      <c r="AS616" s="21"/>
      <c r="AT616" s="21"/>
      <c r="AU616" s="22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</row>
    <row r="617" spans="38:59">
      <c r="AL617" s="21"/>
      <c r="AM617" s="24"/>
      <c r="AN617" s="21"/>
      <c r="AO617" s="21"/>
      <c r="AP617" s="64"/>
      <c r="AQ617" s="64"/>
      <c r="AR617" s="21"/>
      <c r="AS617" s="21"/>
      <c r="AT617" s="21"/>
      <c r="AU617" s="22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</row>
    <row r="618" spans="38:59">
      <c r="AL618" s="21"/>
      <c r="AM618" s="24"/>
      <c r="AN618" s="21"/>
      <c r="AO618" s="21"/>
      <c r="AP618" s="64"/>
      <c r="AQ618" s="64"/>
      <c r="AR618" s="21"/>
      <c r="AS618" s="21"/>
      <c r="AT618" s="21"/>
      <c r="AU618" s="22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</row>
    <row r="619" spans="38:59">
      <c r="AL619" s="21"/>
      <c r="AM619" s="24"/>
      <c r="AN619" s="21"/>
      <c r="AO619" s="21"/>
      <c r="AP619" s="64"/>
      <c r="AQ619" s="64"/>
      <c r="AR619" s="21"/>
      <c r="AS619" s="21"/>
      <c r="AT619" s="21"/>
      <c r="AU619" s="22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</row>
    <row r="620" spans="38:59">
      <c r="AL620" s="21"/>
      <c r="AM620" s="24"/>
      <c r="AN620" s="21"/>
      <c r="AO620" s="21"/>
      <c r="AP620" s="64"/>
      <c r="AQ620" s="64"/>
      <c r="AR620" s="21"/>
      <c r="AS620" s="21"/>
      <c r="AT620" s="21"/>
      <c r="AU620" s="22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</row>
    <row r="621" spans="38:59">
      <c r="AL621" s="21"/>
      <c r="AM621" s="24"/>
      <c r="AN621" s="21"/>
      <c r="AO621" s="21"/>
      <c r="AP621" s="64"/>
      <c r="AQ621" s="64"/>
      <c r="AR621" s="21"/>
      <c r="AS621" s="21"/>
      <c r="AT621" s="21"/>
      <c r="AU621" s="22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</row>
    <row r="622" spans="38:59">
      <c r="AL622" s="21"/>
      <c r="AM622" s="24"/>
      <c r="AN622" s="21"/>
      <c r="AO622" s="21"/>
      <c r="AP622" s="64"/>
      <c r="AQ622" s="64"/>
      <c r="AR622" s="21"/>
      <c r="AS622" s="21"/>
      <c r="AT622" s="21"/>
      <c r="AU622" s="22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</row>
    <row r="623" spans="38:59">
      <c r="AL623" s="21"/>
      <c r="AM623" s="24"/>
      <c r="AN623" s="21"/>
      <c r="AO623" s="21"/>
      <c r="AP623" s="64"/>
      <c r="AQ623" s="64"/>
      <c r="AR623" s="21"/>
      <c r="AS623" s="21"/>
      <c r="AT623" s="21"/>
      <c r="AU623" s="22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</row>
    <row r="624" spans="38:59">
      <c r="AL624" s="21"/>
      <c r="AM624" s="24"/>
      <c r="AN624" s="21"/>
      <c r="AO624" s="21"/>
      <c r="AP624" s="64"/>
      <c r="AQ624" s="64"/>
      <c r="AR624" s="21"/>
      <c r="AS624" s="21"/>
      <c r="AT624" s="21"/>
      <c r="AU624" s="22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</row>
    <row r="625" spans="38:59">
      <c r="AL625" s="21"/>
      <c r="AM625" s="24"/>
      <c r="AN625" s="21"/>
      <c r="AO625" s="21"/>
      <c r="AP625" s="64"/>
      <c r="AQ625" s="64"/>
      <c r="AR625" s="21"/>
      <c r="AS625" s="21"/>
      <c r="AT625" s="21"/>
      <c r="AU625" s="22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</row>
    <row r="626" spans="38:59">
      <c r="AL626" s="21"/>
      <c r="AM626" s="24"/>
      <c r="AN626" s="21"/>
      <c r="AO626" s="21"/>
      <c r="AP626" s="64"/>
      <c r="AQ626" s="64"/>
      <c r="AR626" s="21"/>
      <c r="AS626" s="21"/>
      <c r="AT626" s="21"/>
      <c r="AU626" s="22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</row>
    <row r="627" spans="38:59">
      <c r="AL627" s="21"/>
      <c r="AM627" s="24"/>
      <c r="AN627" s="21"/>
      <c r="AO627" s="21"/>
      <c r="AP627" s="64"/>
      <c r="AQ627" s="64"/>
      <c r="AR627" s="21"/>
      <c r="AS627" s="21"/>
      <c r="AT627" s="21"/>
      <c r="AU627" s="22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</row>
    <row r="628" spans="38:59">
      <c r="AL628" s="21"/>
      <c r="AM628" s="24"/>
      <c r="AN628" s="21"/>
      <c r="AO628" s="21"/>
      <c r="AP628" s="64"/>
      <c r="AQ628" s="64"/>
      <c r="AR628" s="21"/>
      <c r="AS628" s="21"/>
      <c r="AT628" s="21"/>
      <c r="AU628" s="22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</row>
    <row r="629" spans="38:59">
      <c r="AL629" s="21"/>
      <c r="AM629" s="24"/>
      <c r="AN629" s="21"/>
      <c r="AO629" s="21"/>
      <c r="AP629" s="64"/>
      <c r="AQ629" s="64"/>
      <c r="AR629" s="21"/>
      <c r="AS629" s="21"/>
      <c r="AT629" s="21"/>
      <c r="AU629" s="22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</row>
    <row r="630" spans="38:59">
      <c r="AL630" s="21"/>
      <c r="AM630" s="24"/>
      <c r="AN630" s="21"/>
      <c r="AO630" s="21"/>
      <c r="AP630" s="64"/>
      <c r="AQ630" s="64"/>
      <c r="AR630" s="21"/>
      <c r="AS630" s="21"/>
      <c r="AT630" s="21"/>
      <c r="AU630" s="22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</row>
    <row r="631" spans="38:59">
      <c r="AL631" s="21"/>
      <c r="AM631" s="24"/>
      <c r="AN631" s="21"/>
      <c r="AO631" s="21"/>
      <c r="AP631" s="64"/>
      <c r="AQ631" s="64"/>
      <c r="AR631" s="21"/>
      <c r="AS631" s="21"/>
      <c r="AT631" s="21"/>
      <c r="AU631" s="22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</row>
    <row r="632" spans="38:59">
      <c r="AL632" s="21"/>
      <c r="AM632" s="24"/>
      <c r="AN632" s="21"/>
      <c r="AO632" s="21"/>
      <c r="AP632" s="64"/>
      <c r="AQ632" s="64"/>
      <c r="AR632" s="21"/>
      <c r="AS632" s="21"/>
      <c r="AT632" s="21"/>
      <c r="AU632" s="22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</row>
    <row r="633" spans="38:59">
      <c r="AL633" s="21"/>
      <c r="AM633" s="24"/>
      <c r="AN633" s="21"/>
      <c r="AO633" s="21"/>
      <c r="AP633" s="64"/>
      <c r="AQ633" s="64"/>
      <c r="AR633" s="21"/>
      <c r="AS633" s="21"/>
      <c r="AT633" s="21"/>
      <c r="AU633" s="22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</row>
    <row r="634" spans="38:59">
      <c r="AL634" s="21"/>
      <c r="AM634" s="24"/>
      <c r="AN634" s="21"/>
      <c r="AO634" s="21"/>
      <c r="AP634" s="64"/>
      <c r="AQ634" s="64"/>
      <c r="AR634" s="21"/>
      <c r="AS634" s="21"/>
      <c r="AT634" s="21"/>
      <c r="AU634" s="22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</row>
    <row r="635" spans="38:59">
      <c r="AL635" s="21"/>
      <c r="AM635" s="24"/>
      <c r="AN635" s="21"/>
      <c r="AO635" s="21"/>
      <c r="AP635" s="64"/>
      <c r="AQ635" s="64"/>
      <c r="AR635" s="21"/>
      <c r="AS635" s="21"/>
      <c r="AT635" s="21"/>
      <c r="AU635" s="22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</row>
    <row r="636" spans="38:59">
      <c r="AL636" s="21"/>
      <c r="AM636" s="24"/>
      <c r="AN636" s="21"/>
      <c r="AO636" s="21"/>
      <c r="AP636" s="64"/>
      <c r="AQ636" s="64"/>
      <c r="AR636" s="21"/>
      <c r="AS636" s="21"/>
      <c r="AT636" s="21"/>
      <c r="AU636" s="22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</row>
    <row r="637" spans="38:59">
      <c r="AL637" s="21"/>
      <c r="AM637" s="24"/>
      <c r="AN637" s="21"/>
      <c r="AO637" s="21"/>
      <c r="AP637" s="64"/>
      <c r="AQ637" s="64"/>
      <c r="AR637" s="21"/>
      <c r="AS637" s="21"/>
      <c r="AT637" s="21"/>
      <c r="AU637" s="22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</row>
    <row r="638" spans="38:59">
      <c r="AL638" s="21"/>
      <c r="AM638" s="24"/>
      <c r="AN638" s="21"/>
      <c r="AO638" s="21"/>
      <c r="AP638" s="64"/>
      <c r="AQ638" s="64"/>
      <c r="AR638" s="21"/>
      <c r="AS638" s="21"/>
      <c r="AT638" s="21"/>
      <c r="AU638" s="22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</row>
    <row r="639" spans="38:59">
      <c r="AL639" s="21"/>
      <c r="AM639" s="24"/>
      <c r="AN639" s="21"/>
      <c r="AO639" s="21"/>
      <c r="AP639" s="64"/>
      <c r="AQ639" s="64"/>
      <c r="AR639" s="21"/>
      <c r="AS639" s="21"/>
      <c r="AT639" s="21"/>
      <c r="AU639" s="22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</row>
    <row r="640" spans="38:59">
      <c r="AL640" s="21"/>
      <c r="AM640" s="24"/>
      <c r="AN640" s="21"/>
      <c r="AO640" s="21"/>
      <c r="AP640" s="64"/>
      <c r="AQ640" s="64"/>
      <c r="AR640" s="21"/>
      <c r="AS640" s="21"/>
      <c r="AT640" s="21"/>
      <c r="AU640" s="22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</row>
    <row r="641" spans="38:59">
      <c r="AL641" s="21"/>
      <c r="AM641" s="24"/>
      <c r="AN641" s="21"/>
      <c r="AO641" s="21"/>
      <c r="AP641" s="64"/>
      <c r="AQ641" s="64"/>
      <c r="AR641" s="21"/>
      <c r="AS641" s="21"/>
      <c r="AT641" s="21"/>
      <c r="AU641" s="22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</row>
    <row r="642" spans="38:59">
      <c r="AL642" s="21"/>
      <c r="AM642" s="24"/>
      <c r="AN642" s="21"/>
      <c r="AO642" s="21"/>
      <c r="AP642" s="64"/>
      <c r="AQ642" s="64"/>
      <c r="AR642" s="21"/>
      <c r="AS642" s="21"/>
      <c r="AT642" s="21"/>
      <c r="AU642" s="22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</row>
    <row r="643" spans="38:59">
      <c r="AL643" s="21"/>
      <c r="AM643" s="24"/>
      <c r="AN643" s="21"/>
      <c r="AO643" s="21"/>
      <c r="AP643" s="64"/>
      <c r="AQ643" s="64"/>
      <c r="AR643" s="21"/>
      <c r="AS643" s="21"/>
      <c r="AT643" s="21"/>
      <c r="AU643" s="22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</row>
    <row r="644" spans="38:59">
      <c r="AL644" s="21"/>
      <c r="AM644" s="24"/>
      <c r="AN644" s="21"/>
      <c r="AO644" s="21"/>
      <c r="AP644" s="64"/>
      <c r="AQ644" s="64"/>
      <c r="AR644" s="21"/>
      <c r="AS644" s="21"/>
      <c r="AT644" s="21"/>
      <c r="AU644" s="22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</row>
    <row r="645" spans="38:59">
      <c r="AL645" s="21"/>
      <c r="AM645" s="24"/>
      <c r="AN645" s="21"/>
      <c r="AO645" s="21"/>
      <c r="AP645" s="64"/>
      <c r="AQ645" s="64"/>
      <c r="AR645" s="21"/>
      <c r="AS645" s="21"/>
      <c r="AT645" s="21"/>
      <c r="AU645" s="22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</row>
    <row r="646" spans="38:59">
      <c r="AL646" s="21"/>
      <c r="AM646" s="24"/>
      <c r="AN646" s="21"/>
      <c r="AO646" s="21"/>
      <c r="AP646" s="64"/>
      <c r="AQ646" s="64"/>
      <c r="AR646" s="21"/>
      <c r="AS646" s="21"/>
      <c r="AT646" s="21"/>
      <c r="AU646" s="22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</row>
    <row r="647" spans="38:59">
      <c r="AL647" s="21"/>
      <c r="AM647" s="24"/>
      <c r="AN647" s="21"/>
      <c r="AO647" s="21"/>
      <c r="AP647" s="64"/>
      <c r="AQ647" s="64"/>
      <c r="AR647" s="21"/>
      <c r="AS647" s="21"/>
      <c r="AT647" s="21"/>
      <c r="AU647" s="22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</row>
    <row r="648" spans="38:59">
      <c r="AL648" s="21"/>
      <c r="AM648" s="24"/>
      <c r="AN648" s="21"/>
      <c r="AO648" s="21"/>
      <c r="AP648" s="64"/>
      <c r="AQ648" s="64"/>
      <c r="AR648" s="21"/>
      <c r="AS648" s="21"/>
      <c r="AT648" s="21"/>
      <c r="AU648" s="22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</row>
    <row r="649" spans="38:59">
      <c r="AL649" s="21"/>
      <c r="AM649" s="24"/>
      <c r="AN649" s="21"/>
      <c r="AO649" s="21"/>
      <c r="AP649" s="64"/>
      <c r="AQ649" s="64"/>
      <c r="AR649" s="21"/>
      <c r="AS649" s="21"/>
      <c r="AT649" s="21"/>
      <c r="AU649" s="22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</row>
    <row r="650" spans="38:59">
      <c r="AL650" s="21"/>
      <c r="AM650" s="24"/>
      <c r="AN650" s="21"/>
      <c r="AO650" s="21"/>
      <c r="AP650" s="64"/>
      <c r="AQ650" s="64"/>
      <c r="AR650" s="21"/>
      <c r="AS650" s="21"/>
      <c r="AT650" s="21"/>
      <c r="AU650" s="22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</row>
    <row r="651" spans="38:59">
      <c r="AL651" s="21"/>
      <c r="AM651" s="24"/>
      <c r="AN651" s="21"/>
      <c r="AO651" s="21"/>
      <c r="AP651" s="64"/>
      <c r="AQ651" s="64"/>
      <c r="AR651" s="21"/>
      <c r="AS651" s="21"/>
      <c r="AT651" s="21"/>
      <c r="AU651" s="22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</row>
    <row r="652" spans="38:59">
      <c r="AL652" s="21"/>
      <c r="AM652" s="24"/>
      <c r="AN652" s="21"/>
      <c r="AO652" s="21"/>
      <c r="AP652" s="64"/>
      <c r="AQ652" s="64"/>
      <c r="AR652" s="21"/>
      <c r="AS652" s="21"/>
      <c r="AT652" s="21"/>
      <c r="AU652" s="22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</row>
    <row r="653" spans="38:59">
      <c r="AL653" s="21"/>
      <c r="AM653" s="24"/>
      <c r="AN653" s="21"/>
      <c r="AO653" s="21"/>
      <c r="AP653" s="64"/>
      <c r="AQ653" s="64"/>
      <c r="AR653" s="21"/>
      <c r="AS653" s="21"/>
      <c r="AT653" s="21"/>
      <c r="AU653" s="22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</row>
    <row r="654" spans="38:59">
      <c r="AL654" s="21"/>
      <c r="AM654" s="24"/>
      <c r="AN654" s="21"/>
      <c r="AO654" s="21"/>
      <c r="AP654" s="64"/>
      <c r="AQ654" s="64"/>
      <c r="AR654" s="21"/>
      <c r="AS654" s="21"/>
      <c r="AT654" s="21"/>
      <c r="AU654" s="22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</row>
    <row r="655" spans="38:59">
      <c r="AL655" s="21"/>
      <c r="AM655" s="24"/>
      <c r="AN655" s="21"/>
      <c r="AO655" s="21"/>
      <c r="AP655" s="64"/>
      <c r="AQ655" s="64"/>
      <c r="AR655" s="21"/>
      <c r="AS655" s="21"/>
      <c r="AT655" s="21"/>
      <c r="AU655" s="22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</row>
    <row r="656" spans="38:59">
      <c r="AL656" s="21"/>
      <c r="AM656" s="24"/>
      <c r="AN656" s="21"/>
      <c r="AO656" s="21"/>
      <c r="AP656" s="64"/>
      <c r="AQ656" s="64"/>
      <c r="AR656" s="21"/>
      <c r="AS656" s="21"/>
      <c r="AT656" s="21"/>
      <c r="AU656" s="22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</row>
    <row r="657" spans="38:59">
      <c r="AL657" s="21"/>
      <c r="AM657" s="24"/>
      <c r="AN657" s="21"/>
      <c r="AO657" s="21"/>
      <c r="AP657" s="64"/>
      <c r="AQ657" s="64"/>
      <c r="AR657" s="21"/>
      <c r="AS657" s="21"/>
      <c r="AT657" s="21"/>
      <c r="AU657" s="22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</row>
    <row r="658" spans="38:59">
      <c r="AL658" s="21"/>
      <c r="AM658" s="24"/>
      <c r="AN658" s="21"/>
      <c r="AO658" s="21"/>
      <c r="AP658" s="64"/>
      <c r="AQ658" s="64"/>
      <c r="AR658" s="21"/>
      <c r="AS658" s="21"/>
      <c r="AT658" s="21"/>
      <c r="AU658" s="22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</row>
    <row r="659" spans="38:59">
      <c r="AL659" s="21"/>
      <c r="AM659" s="24"/>
      <c r="AN659" s="21"/>
      <c r="AO659" s="21"/>
      <c r="AP659" s="64"/>
      <c r="AQ659" s="64"/>
      <c r="AR659" s="21"/>
      <c r="AS659" s="21"/>
      <c r="AT659" s="21"/>
      <c r="AU659" s="22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</row>
    <row r="660" spans="38:59">
      <c r="AL660" s="21"/>
      <c r="AM660" s="24"/>
      <c r="AN660" s="21"/>
      <c r="AO660" s="21"/>
      <c r="AP660" s="64"/>
      <c r="AQ660" s="64"/>
      <c r="AR660" s="21"/>
      <c r="AS660" s="21"/>
      <c r="AT660" s="21"/>
      <c r="AU660" s="22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</row>
    <row r="661" spans="38:59">
      <c r="AL661" s="21"/>
      <c r="AM661" s="24"/>
      <c r="AN661" s="21"/>
      <c r="AO661" s="21"/>
      <c r="AP661" s="64"/>
      <c r="AQ661" s="64"/>
      <c r="AR661" s="21"/>
      <c r="AS661" s="21"/>
      <c r="AT661" s="21"/>
      <c r="AU661" s="22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</row>
    <row r="662" spans="38:59">
      <c r="AL662" s="21"/>
      <c r="AM662" s="24"/>
      <c r="AN662" s="21"/>
      <c r="AO662" s="21"/>
      <c r="AP662" s="64"/>
      <c r="AQ662" s="64"/>
      <c r="AR662" s="21"/>
      <c r="AS662" s="21"/>
      <c r="AT662" s="21"/>
      <c r="AU662" s="22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</row>
    <row r="663" spans="38:59">
      <c r="AL663" s="21"/>
      <c r="AM663" s="24"/>
      <c r="AN663" s="21"/>
      <c r="AO663" s="21"/>
      <c r="AP663" s="64"/>
      <c r="AQ663" s="64"/>
      <c r="AR663" s="21"/>
      <c r="AS663" s="21"/>
      <c r="AT663" s="21"/>
      <c r="AU663" s="22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</row>
    <row r="664" spans="38:59">
      <c r="AL664" s="21"/>
      <c r="AM664" s="24"/>
      <c r="AN664" s="21"/>
      <c r="AO664" s="21"/>
      <c r="AP664" s="64"/>
      <c r="AQ664" s="64"/>
      <c r="AR664" s="21"/>
      <c r="AS664" s="21"/>
      <c r="AT664" s="21"/>
      <c r="AU664" s="22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</row>
    <row r="665" spans="38:59">
      <c r="AL665" s="21"/>
      <c r="AM665" s="24"/>
      <c r="AN665" s="21"/>
      <c r="AO665" s="21"/>
      <c r="AP665" s="64"/>
      <c r="AQ665" s="64"/>
      <c r="AR665" s="21"/>
      <c r="AS665" s="21"/>
      <c r="AT665" s="21"/>
      <c r="AU665" s="22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</row>
    <row r="666" spans="38:59">
      <c r="AL666" s="21"/>
      <c r="AM666" s="24"/>
      <c r="AN666" s="21"/>
      <c r="AO666" s="21"/>
      <c r="AP666" s="64"/>
      <c r="AQ666" s="64"/>
      <c r="AR666" s="21"/>
      <c r="AS666" s="21"/>
      <c r="AT666" s="21"/>
      <c r="AU666" s="22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</row>
    <row r="667" spans="38:59">
      <c r="AL667" s="21"/>
      <c r="AM667" s="24"/>
      <c r="AN667" s="21"/>
      <c r="AO667" s="21"/>
      <c r="AP667" s="64"/>
      <c r="AQ667" s="64"/>
      <c r="AR667" s="21"/>
      <c r="AS667" s="21"/>
      <c r="AT667" s="21"/>
      <c r="AU667" s="22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</row>
    <row r="668" spans="38:59">
      <c r="AL668" s="21"/>
      <c r="AM668" s="24"/>
      <c r="AN668" s="21"/>
      <c r="AO668" s="21"/>
      <c r="AP668" s="64"/>
      <c r="AQ668" s="64"/>
      <c r="AR668" s="21"/>
      <c r="AS668" s="21"/>
      <c r="AT668" s="21"/>
      <c r="AU668" s="22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</row>
    <row r="669" spans="38:59">
      <c r="AL669" s="21"/>
      <c r="AM669" s="24"/>
      <c r="AN669" s="21"/>
      <c r="AO669" s="21"/>
      <c r="AP669" s="64"/>
      <c r="AQ669" s="64"/>
      <c r="AR669" s="21"/>
      <c r="AS669" s="21"/>
      <c r="AT669" s="21"/>
      <c r="AU669" s="22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</row>
    <row r="670" spans="38:59">
      <c r="AL670" s="21"/>
      <c r="AM670" s="24"/>
      <c r="AN670" s="21"/>
      <c r="AO670" s="21"/>
      <c r="AP670" s="64"/>
      <c r="AQ670" s="64"/>
      <c r="AR670" s="21"/>
      <c r="AS670" s="21"/>
      <c r="AT670" s="21"/>
      <c r="AU670" s="22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</row>
    <row r="671" spans="38:59">
      <c r="AL671" s="21"/>
      <c r="AM671" s="24"/>
      <c r="AN671" s="21"/>
      <c r="AO671" s="21"/>
      <c r="AP671" s="64"/>
      <c r="AQ671" s="64"/>
      <c r="AR671" s="21"/>
      <c r="AS671" s="21"/>
      <c r="AT671" s="21"/>
      <c r="AU671" s="22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</row>
    <row r="672" spans="38:59">
      <c r="AL672" s="21"/>
      <c r="AM672" s="24"/>
      <c r="AN672" s="21"/>
      <c r="AO672" s="21"/>
      <c r="AP672" s="64"/>
      <c r="AQ672" s="64"/>
      <c r="AR672" s="21"/>
      <c r="AS672" s="21"/>
      <c r="AT672" s="21"/>
      <c r="AU672" s="22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</row>
    <row r="673" spans="38:59">
      <c r="AL673" s="21"/>
      <c r="AM673" s="24"/>
      <c r="AN673" s="21"/>
      <c r="AO673" s="21"/>
      <c r="AP673" s="64"/>
      <c r="AQ673" s="64"/>
      <c r="AR673" s="21"/>
      <c r="AS673" s="21"/>
      <c r="AT673" s="21"/>
      <c r="AU673" s="22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</row>
    <row r="674" spans="38:59">
      <c r="AL674" s="21"/>
      <c r="AM674" s="24"/>
      <c r="AN674" s="21"/>
      <c r="AO674" s="21"/>
      <c r="AP674" s="64"/>
      <c r="AQ674" s="64"/>
      <c r="AR674" s="21"/>
      <c r="AS674" s="21"/>
      <c r="AT674" s="21"/>
      <c r="AU674" s="22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</row>
    <row r="675" spans="38:59">
      <c r="AL675" s="21"/>
      <c r="AM675" s="24"/>
      <c r="AN675" s="21"/>
      <c r="AO675" s="21"/>
      <c r="AP675" s="64"/>
      <c r="AQ675" s="64"/>
      <c r="AR675" s="21"/>
      <c r="AS675" s="21"/>
      <c r="AT675" s="21"/>
      <c r="AU675" s="22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</row>
    <row r="676" spans="38:59">
      <c r="AL676" s="21"/>
      <c r="AM676" s="24"/>
      <c r="AN676" s="21"/>
      <c r="AO676" s="21"/>
      <c r="AP676" s="64"/>
      <c r="AQ676" s="64"/>
      <c r="AR676" s="21"/>
      <c r="AS676" s="21"/>
      <c r="AT676" s="21"/>
      <c r="AU676" s="22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</row>
    <row r="677" spans="38:59">
      <c r="AL677" s="21"/>
      <c r="AM677" s="24"/>
      <c r="AN677" s="21"/>
      <c r="AO677" s="21"/>
      <c r="AP677" s="64"/>
      <c r="AQ677" s="64"/>
      <c r="AR677" s="21"/>
      <c r="AS677" s="21"/>
      <c r="AT677" s="21"/>
      <c r="AU677" s="22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</row>
    <row r="678" spans="38:59">
      <c r="AL678" s="21"/>
      <c r="AM678" s="24"/>
      <c r="AN678" s="21"/>
      <c r="AO678" s="21"/>
      <c r="AP678" s="64"/>
      <c r="AQ678" s="64"/>
      <c r="AR678" s="21"/>
      <c r="AS678" s="21"/>
      <c r="AT678" s="21"/>
      <c r="AU678" s="22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</row>
    <row r="679" spans="38:59">
      <c r="AL679" s="21"/>
      <c r="AM679" s="24"/>
      <c r="AN679" s="21"/>
      <c r="AO679" s="21"/>
      <c r="AP679" s="64"/>
      <c r="AQ679" s="64"/>
      <c r="AR679" s="21"/>
      <c r="AS679" s="21"/>
      <c r="AT679" s="21"/>
      <c r="AU679" s="22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</row>
    <row r="680" spans="38:59">
      <c r="AL680" s="21"/>
      <c r="AM680" s="24"/>
      <c r="AN680" s="21"/>
      <c r="AO680" s="21"/>
      <c r="AP680" s="64"/>
      <c r="AQ680" s="64"/>
      <c r="AR680" s="21"/>
      <c r="AS680" s="21"/>
      <c r="AT680" s="21"/>
      <c r="AU680" s="22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</row>
    <row r="681" spans="38:59">
      <c r="AL681" s="21"/>
      <c r="AM681" s="24"/>
      <c r="AN681" s="21"/>
      <c r="AO681" s="21"/>
      <c r="AP681" s="64"/>
      <c r="AQ681" s="64"/>
      <c r="AR681" s="21"/>
      <c r="AS681" s="21"/>
      <c r="AT681" s="21"/>
      <c r="AU681" s="22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</row>
    <row r="682" spans="38:59">
      <c r="AL682" s="21"/>
      <c r="AM682" s="24"/>
      <c r="AN682" s="21"/>
      <c r="AO682" s="21"/>
      <c r="AP682" s="64"/>
      <c r="AQ682" s="64"/>
      <c r="AR682" s="21"/>
      <c r="AS682" s="21"/>
      <c r="AT682" s="21"/>
      <c r="AU682" s="22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</row>
    <row r="683" spans="38:59">
      <c r="AL683" s="21"/>
      <c r="AM683" s="24"/>
      <c r="AN683" s="21"/>
      <c r="AO683" s="21"/>
      <c r="AP683" s="64"/>
      <c r="AQ683" s="64"/>
      <c r="AR683" s="21"/>
      <c r="AS683" s="21"/>
      <c r="AT683" s="21"/>
      <c r="AU683" s="22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</row>
    <row r="684" spans="38:59">
      <c r="AL684" s="21"/>
      <c r="AM684" s="24"/>
      <c r="AN684" s="21"/>
      <c r="AO684" s="21"/>
      <c r="AP684" s="64"/>
      <c r="AQ684" s="64"/>
      <c r="AR684" s="21"/>
      <c r="AS684" s="21"/>
      <c r="AT684" s="21"/>
      <c r="AU684" s="22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</row>
    <row r="685" spans="38:59">
      <c r="AL685" s="21"/>
      <c r="AM685" s="24"/>
      <c r="AN685" s="21"/>
      <c r="AO685" s="21"/>
      <c r="AP685" s="64"/>
      <c r="AQ685" s="64"/>
      <c r="AR685" s="21"/>
      <c r="AS685" s="21"/>
      <c r="AT685" s="21"/>
      <c r="AU685" s="22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</row>
    <row r="686" spans="38:59">
      <c r="AL686" s="21"/>
      <c r="AM686" s="24"/>
      <c r="AN686" s="21"/>
      <c r="AO686" s="21"/>
      <c r="AP686" s="64"/>
      <c r="AQ686" s="64"/>
      <c r="AR686" s="21"/>
      <c r="AS686" s="21"/>
      <c r="AT686" s="21"/>
      <c r="AU686" s="22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</row>
    <row r="687" spans="38:59">
      <c r="AL687" s="21"/>
      <c r="AM687" s="24"/>
      <c r="AN687" s="21"/>
      <c r="AO687" s="21"/>
      <c r="AP687" s="64"/>
      <c r="AQ687" s="64"/>
      <c r="AR687" s="21"/>
      <c r="AS687" s="21"/>
      <c r="AT687" s="21"/>
      <c r="AU687" s="22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</row>
    <row r="688" spans="38:59">
      <c r="AL688" s="21"/>
      <c r="AM688" s="24"/>
      <c r="AN688" s="21"/>
      <c r="AO688" s="21"/>
      <c r="AP688" s="64"/>
      <c r="AQ688" s="64"/>
      <c r="AR688" s="21"/>
      <c r="AS688" s="21"/>
      <c r="AT688" s="21"/>
      <c r="AU688" s="22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</row>
    <row r="689" spans="38:59">
      <c r="AL689" s="21"/>
      <c r="AM689" s="24"/>
      <c r="AN689" s="21"/>
      <c r="AO689" s="21"/>
      <c r="AP689" s="64"/>
      <c r="AQ689" s="64"/>
      <c r="AR689" s="21"/>
      <c r="AS689" s="21"/>
      <c r="AT689" s="21"/>
      <c r="AU689" s="22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</row>
    <row r="690" spans="38:59">
      <c r="AL690" s="21"/>
      <c r="AM690" s="24"/>
      <c r="AN690" s="21"/>
      <c r="AO690" s="21"/>
      <c r="AP690" s="64"/>
      <c r="AQ690" s="64"/>
      <c r="AR690" s="21"/>
      <c r="AS690" s="21"/>
      <c r="AT690" s="21"/>
      <c r="AU690" s="22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</row>
    <row r="691" spans="38:59">
      <c r="AL691" s="21"/>
      <c r="AM691" s="24"/>
      <c r="AN691" s="21"/>
      <c r="AO691" s="21"/>
      <c r="AP691" s="64"/>
      <c r="AQ691" s="64"/>
      <c r="AR691" s="21"/>
      <c r="AS691" s="21"/>
      <c r="AT691" s="21"/>
      <c r="AU691" s="22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</row>
    <row r="692" spans="38:59">
      <c r="AL692" s="21"/>
      <c r="AM692" s="24"/>
      <c r="AN692" s="21"/>
      <c r="AO692" s="21"/>
      <c r="AP692" s="64"/>
      <c r="AQ692" s="64"/>
      <c r="AR692" s="21"/>
      <c r="AS692" s="21"/>
      <c r="AT692" s="21"/>
      <c r="AU692" s="22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</row>
    <row r="693" spans="38:59">
      <c r="AL693" s="21"/>
      <c r="AM693" s="24"/>
      <c r="AN693" s="21"/>
      <c r="AO693" s="21"/>
      <c r="AP693" s="64"/>
      <c r="AQ693" s="64"/>
      <c r="AR693" s="21"/>
      <c r="AS693" s="21"/>
      <c r="AT693" s="21"/>
      <c r="AU693" s="22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</row>
    <row r="694" spans="38:59">
      <c r="AL694" s="21"/>
      <c r="AM694" s="24"/>
      <c r="AN694" s="21"/>
      <c r="AO694" s="21"/>
      <c r="AP694" s="64"/>
      <c r="AQ694" s="64"/>
      <c r="AR694" s="21"/>
      <c r="AS694" s="21"/>
      <c r="AT694" s="21"/>
      <c r="AU694" s="22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</row>
    <row r="695" spans="38:59">
      <c r="AL695" s="21"/>
      <c r="AM695" s="24"/>
      <c r="AN695" s="21"/>
      <c r="AO695" s="21"/>
      <c r="AP695" s="64"/>
      <c r="AQ695" s="64"/>
      <c r="AR695" s="21"/>
      <c r="AS695" s="21"/>
      <c r="AT695" s="21"/>
      <c r="AU695" s="22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</row>
    <row r="696" spans="38:59">
      <c r="AL696" s="21"/>
      <c r="AM696" s="24"/>
      <c r="AN696" s="21"/>
      <c r="AO696" s="21"/>
      <c r="AP696" s="64"/>
      <c r="AQ696" s="64"/>
      <c r="AR696" s="21"/>
      <c r="AS696" s="21"/>
      <c r="AT696" s="21"/>
      <c r="AU696" s="22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</row>
    <row r="697" spans="38:59">
      <c r="AL697" s="21"/>
      <c r="AM697" s="24"/>
      <c r="AN697" s="21"/>
      <c r="AO697" s="21"/>
      <c r="AP697" s="64"/>
      <c r="AQ697" s="64"/>
      <c r="AR697" s="21"/>
      <c r="AS697" s="21"/>
      <c r="AT697" s="21"/>
      <c r="AU697" s="22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</row>
    <row r="698" spans="38:59">
      <c r="AL698" s="21"/>
      <c r="AM698" s="24"/>
      <c r="AN698" s="21"/>
      <c r="AO698" s="21"/>
      <c r="AP698" s="64"/>
      <c r="AQ698" s="64"/>
      <c r="AR698" s="21"/>
      <c r="AS698" s="21"/>
      <c r="AT698" s="21"/>
      <c r="AU698" s="22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</row>
    <row r="699" spans="38:59">
      <c r="AL699" s="21"/>
      <c r="AM699" s="24"/>
      <c r="AN699" s="21"/>
      <c r="AO699" s="21"/>
      <c r="AP699" s="64"/>
      <c r="AQ699" s="64"/>
      <c r="AR699" s="21"/>
      <c r="AS699" s="21"/>
      <c r="AT699" s="21"/>
      <c r="AU699" s="22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</row>
    <row r="700" spans="38:59">
      <c r="AL700" s="21"/>
      <c r="AM700" s="24"/>
      <c r="AN700" s="21"/>
      <c r="AO700" s="21"/>
      <c r="AP700" s="64"/>
      <c r="AQ700" s="64"/>
      <c r="AR700" s="21"/>
      <c r="AS700" s="21"/>
      <c r="AT700" s="21"/>
      <c r="AU700" s="22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</row>
    <row r="701" spans="38:59">
      <c r="AL701" s="21"/>
      <c r="AM701" s="24"/>
      <c r="AN701" s="21"/>
      <c r="AO701" s="21"/>
      <c r="AP701" s="64"/>
      <c r="AQ701" s="64"/>
      <c r="AR701" s="21"/>
      <c r="AS701" s="21"/>
      <c r="AT701" s="21"/>
      <c r="AU701" s="22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</row>
    <row r="702" spans="38:59">
      <c r="AL702" s="21"/>
      <c r="AM702" s="24"/>
      <c r="AN702" s="21"/>
      <c r="AO702" s="21"/>
      <c r="AP702" s="64"/>
      <c r="AQ702" s="64"/>
      <c r="AR702" s="21"/>
      <c r="AS702" s="21"/>
      <c r="AT702" s="21"/>
      <c r="AU702" s="22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</row>
    <row r="703" spans="38:59">
      <c r="AL703" s="21"/>
      <c r="AM703" s="24"/>
      <c r="AN703" s="21"/>
      <c r="AO703" s="21"/>
      <c r="AP703" s="64"/>
      <c r="AQ703" s="64"/>
      <c r="AR703" s="21"/>
      <c r="AS703" s="21"/>
      <c r="AT703" s="21"/>
      <c r="AU703" s="22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</row>
    <row r="704" spans="38:59">
      <c r="AL704" s="21"/>
      <c r="AM704" s="24"/>
      <c r="AN704" s="21"/>
      <c r="AO704" s="21"/>
      <c r="AP704" s="64"/>
      <c r="AQ704" s="64"/>
      <c r="AR704" s="21"/>
      <c r="AS704" s="21"/>
      <c r="AT704" s="21"/>
      <c r="AU704" s="22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</row>
    <row r="705" spans="38:59">
      <c r="AL705" s="21"/>
      <c r="AM705" s="24"/>
      <c r="AN705" s="21"/>
      <c r="AO705" s="21"/>
      <c r="AP705" s="64"/>
      <c r="AQ705" s="64"/>
      <c r="AR705" s="21"/>
      <c r="AS705" s="21"/>
      <c r="AT705" s="21"/>
      <c r="AU705" s="22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</row>
    <row r="706" spans="38:59">
      <c r="AL706" s="21"/>
      <c r="AM706" s="24"/>
      <c r="AN706" s="21"/>
      <c r="AO706" s="21"/>
      <c r="AP706" s="64"/>
      <c r="AQ706" s="64"/>
      <c r="AR706" s="21"/>
      <c r="AS706" s="21"/>
      <c r="AT706" s="21"/>
      <c r="AU706" s="22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</row>
    <row r="707" spans="38:59">
      <c r="AL707" s="21"/>
      <c r="AM707" s="24"/>
      <c r="AN707" s="21"/>
      <c r="AO707" s="21"/>
      <c r="AP707" s="64"/>
      <c r="AQ707" s="64"/>
      <c r="AR707" s="21"/>
      <c r="AS707" s="21"/>
      <c r="AT707" s="21"/>
      <c r="AU707" s="22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</row>
    <row r="708" spans="38:59">
      <c r="AL708" s="21"/>
      <c r="AM708" s="24"/>
      <c r="AN708" s="21"/>
      <c r="AO708" s="21"/>
      <c r="AP708" s="64"/>
      <c r="AQ708" s="64"/>
      <c r="AR708" s="21"/>
      <c r="AS708" s="21"/>
      <c r="AT708" s="21"/>
      <c r="AU708" s="22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</row>
    <row r="709" spans="38:59">
      <c r="AL709" s="21"/>
      <c r="AM709" s="24"/>
      <c r="AN709" s="21"/>
      <c r="AO709" s="21"/>
      <c r="AP709" s="64"/>
      <c r="AQ709" s="64"/>
      <c r="AR709" s="21"/>
      <c r="AS709" s="21"/>
      <c r="AT709" s="21"/>
      <c r="AU709" s="22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</row>
    <row r="710" spans="38:59">
      <c r="AL710" s="21"/>
      <c r="AM710" s="24"/>
      <c r="AN710" s="21"/>
      <c r="AO710" s="21"/>
      <c r="AP710" s="64"/>
      <c r="AQ710" s="64"/>
      <c r="AR710" s="21"/>
      <c r="AS710" s="21"/>
      <c r="AT710" s="21"/>
      <c r="AU710" s="22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</row>
    <row r="711" spans="38:59">
      <c r="AL711" s="21"/>
      <c r="AM711" s="24"/>
      <c r="AN711" s="21"/>
      <c r="AO711" s="21"/>
      <c r="AP711" s="64"/>
      <c r="AQ711" s="64"/>
      <c r="AR711" s="21"/>
      <c r="AS711" s="21"/>
      <c r="AT711" s="21"/>
      <c r="AU711" s="22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</row>
    <row r="712" spans="38:59">
      <c r="AL712" s="21"/>
      <c r="AM712" s="24"/>
      <c r="AN712" s="21"/>
      <c r="AO712" s="21"/>
      <c r="AP712" s="64"/>
      <c r="AQ712" s="64"/>
      <c r="AR712" s="21"/>
      <c r="AS712" s="21"/>
      <c r="AT712" s="21"/>
      <c r="AU712" s="22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</row>
    <row r="713" spans="38:59">
      <c r="AL713" s="21"/>
      <c r="AM713" s="24"/>
      <c r="AN713" s="21"/>
      <c r="AO713" s="21"/>
      <c r="AP713" s="64"/>
      <c r="AQ713" s="64"/>
      <c r="AR713" s="21"/>
      <c r="AS713" s="21"/>
      <c r="AT713" s="21"/>
      <c r="AU713" s="22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</row>
    <row r="714" spans="38:59">
      <c r="AL714" s="21"/>
      <c r="AM714" s="24"/>
      <c r="AN714" s="21"/>
      <c r="AO714" s="21"/>
      <c r="AP714" s="64"/>
      <c r="AQ714" s="64"/>
      <c r="AR714" s="21"/>
      <c r="AS714" s="21"/>
      <c r="AT714" s="21"/>
      <c r="AU714" s="22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</row>
    <row r="715" spans="38:59">
      <c r="AL715" s="21"/>
      <c r="AM715" s="24"/>
      <c r="AN715" s="21"/>
      <c r="AO715" s="21"/>
      <c r="AP715" s="64"/>
      <c r="AQ715" s="64"/>
      <c r="AR715" s="21"/>
      <c r="AS715" s="21"/>
      <c r="AT715" s="21"/>
      <c r="AU715" s="22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</row>
    <row r="716" spans="38:59">
      <c r="AL716" s="21"/>
      <c r="AM716" s="24"/>
      <c r="AN716" s="21"/>
      <c r="AO716" s="21"/>
      <c r="AP716" s="64"/>
      <c r="AQ716" s="64"/>
      <c r="AR716" s="21"/>
      <c r="AS716" s="21"/>
      <c r="AT716" s="21"/>
      <c r="AU716" s="22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</row>
    <row r="717" spans="38:59">
      <c r="AL717" s="21"/>
      <c r="AM717" s="24"/>
      <c r="AN717" s="21"/>
      <c r="AO717" s="21"/>
      <c r="AP717" s="64"/>
      <c r="AQ717" s="64"/>
      <c r="AR717" s="21"/>
      <c r="AS717" s="21"/>
      <c r="AT717" s="21"/>
      <c r="AU717" s="22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</row>
    <row r="718" spans="38:59">
      <c r="AL718" s="21"/>
      <c r="AM718" s="24"/>
      <c r="AN718" s="21"/>
      <c r="AO718" s="21"/>
      <c r="AP718" s="64"/>
      <c r="AQ718" s="64"/>
      <c r="AR718" s="21"/>
      <c r="AS718" s="21"/>
      <c r="AT718" s="21"/>
      <c r="AU718" s="22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</row>
    <row r="719" spans="38:59">
      <c r="AL719" s="21"/>
      <c r="AM719" s="24"/>
      <c r="AN719" s="21"/>
      <c r="AO719" s="21"/>
      <c r="AP719" s="64"/>
      <c r="AQ719" s="64"/>
      <c r="AR719" s="21"/>
      <c r="AS719" s="21"/>
      <c r="AT719" s="21"/>
      <c r="AU719" s="22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</row>
    <row r="720" spans="38:59">
      <c r="AL720" s="21"/>
      <c r="AM720" s="24"/>
      <c r="AN720" s="21"/>
      <c r="AO720" s="21"/>
      <c r="AP720" s="64"/>
      <c r="AQ720" s="64"/>
      <c r="AR720" s="21"/>
      <c r="AS720" s="21"/>
      <c r="AT720" s="21"/>
      <c r="AU720" s="22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</row>
    <row r="721" spans="38:59">
      <c r="AL721" s="21"/>
      <c r="AM721" s="24"/>
      <c r="AN721" s="21"/>
      <c r="AO721" s="21"/>
      <c r="AP721" s="64"/>
      <c r="AQ721" s="64"/>
      <c r="AR721" s="21"/>
      <c r="AS721" s="21"/>
      <c r="AT721" s="21"/>
      <c r="AU721" s="22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</row>
    <row r="722" spans="38:59">
      <c r="AL722" s="21"/>
      <c r="AM722" s="24"/>
      <c r="AN722" s="21"/>
      <c r="AO722" s="21"/>
      <c r="AP722" s="64"/>
      <c r="AQ722" s="64"/>
      <c r="AR722" s="21"/>
      <c r="AS722" s="21"/>
      <c r="AT722" s="21"/>
      <c r="AU722" s="22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</row>
    <row r="723" spans="38:59">
      <c r="AL723" s="21"/>
      <c r="AM723" s="24"/>
      <c r="AN723" s="21"/>
      <c r="AO723" s="21"/>
      <c r="AP723" s="64"/>
      <c r="AQ723" s="64"/>
      <c r="AR723" s="21"/>
      <c r="AS723" s="21"/>
      <c r="AT723" s="21"/>
      <c r="AU723" s="22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</row>
    <row r="724" spans="38:59">
      <c r="AL724" s="21"/>
      <c r="AM724" s="24"/>
      <c r="AN724" s="21"/>
      <c r="AO724" s="21"/>
      <c r="AP724" s="64"/>
      <c r="AQ724" s="64"/>
      <c r="AR724" s="21"/>
      <c r="AS724" s="21"/>
      <c r="AT724" s="21"/>
      <c r="AU724" s="22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</row>
    <row r="725" spans="38:59">
      <c r="AL725" s="21"/>
      <c r="AM725" s="24"/>
      <c r="AN725" s="21"/>
      <c r="AO725" s="21"/>
      <c r="AP725" s="64"/>
      <c r="AQ725" s="64"/>
      <c r="AR725" s="21"/>
      <c r="AS725" s="21"/>
      <c r="AT725" s="21"/>
      <c r="AU725" s="22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</row>
    <row r="726" spans="38:59">
      <c r="AL726" s="21"/>
      <c r="AM726" s="24"/>
      <c r="AN726" s="21"/>
      <c r="AO726" s="21"/>
      <c r="AP726" s="64"/>
      <c r="AQ726" s="64"/>
      <c r="AR726" s="21"/>
      <c r="AS726" s="21"/>
      <c r="AT726" s="21"/>
      <c r="AU726" s="22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</row>
    <row r="727" spans="38:59">
      <c r="AL727" s="21"/>
      <c r="AM727" s="24"/>
      <c r="AN727" s="21"/>
      <c r="AO727" s="21"/>
      <c r="AP727" s="64"/>
      <c r="AQ727" s="64"/>
      <c r="AR727" s="21"/>
      <c r="AS727" s="21"/>
      <c r="AT727" s="21"/>
      <c r="AU727" s="22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</row>
    <row r="728" spans="38:59">
      <c r="AL728" s="21"/>
      <c r="AM728" s="24"/>
      <c r="AN728" s="21"/>
      <c r="AO728" s="21"/>
      <c r="AP728" s="64"/>
      <c r="AQ728" s="64"/>
      <c r="AR728" s="21"/>
      <c r="AS728" s="21"/>
      <c r="AT728" s="21"/>
      <c r="AU728" s="22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</row>
    <row r="729" spans="38:59">
      <c r="AL729" s="21"/>
      <c r="AM729" s="24"/>
      <c r="AN729" s="21"/>
      <c r="AO729" s="21"/>
      <c r="AP729" s="64"/>
      <c r="AQ729" s="64"/>
      <c r="AR729" s="21"/>
      <c r="AS729" s="21"/>
      <c r="AT729" s="21"/>
      <c r="AU729" s="22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</row>
    <row r="730" spans="38:59">
      <c r="AL730" s="21"/>
      <c r="AM730" s="24"/>
      <c r="AN730" s="21"/>
      <c r="AO730" s="21"/>
      <c r="AP730" s="64"/>
      <c r="AQ730" s="64"/>
      <c r="AR730" s="21"/>
      <c r="AS730" s="21"/>
      <c r="AT730" s="21"/>
      <c r="AU730" s="22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</row>
    <row r="731" spans="38:59">
      <c r="AL731" s="21"/>
      <c r="AM731" s="24"/>
      <c r="AN731" s="21"/>
      <c r="AO731" s="21"/>
      <c r="AP731" s="64"/>
      <c r="AQ731" s="64"/>
      <c r="AR731" s="21"/>
      <c r="AS731" s="21"/>
      <c r="AT731" s="21"/>
      <c r="AU731" s="22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</row>
    <row r="732" spans="38:59">
      <c r="AL732" s="21"/>
      <c r="AM732" s="24"/>
      <c r="AN732" s="21"/>
      <c r="AO732" s="21"/>
      <c r="AP732" s="64"/>
      <c r="AQ732" s="64"/>
      <c r="AR732" s="21"/>
      <c r="AS732" s="21"/>
      <c r="AT732" s="21"/>
      <c r="AU732" s="22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</row>
    <row r="733" spans="38:59">
      <c r="AL733" s="21"/>
      <c r="AM733" s="24"/>
      <c r="AN733" s="21"/>
      <c r="AO733" s="21"/>
      <c r="AP733" s="64"/>
      <c r="AQ733" s="64"/>
      <c r="AR733" s="21"/>
      <c r="AS733" s="21"/>
      <c r="AT733" s="21"/>
      <c r="AU733" s="22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</row>
    <row r="734" spans="38:59">
      <c r="AL734" s="21"/>
      <c r="AM734" s="24"/>
      <c r="AN734" s="21"/>
      <c r="AO734" s="21"/>
      <c r="AP734" s="64"/>
      <c r="AQ734" s="64"/>
      <c r="AR734" s="21"/>
      <c r="AS734" s="21"/>
      <c r="AT734" s="21"/>
      <c r="AU734" s="22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</row>
    <row r="735" spans="38:59">
      <c r="AL735" s="21"/>
      <c r="AM735" s="24"/>
      <c r="AN735" s="21"/>
      <c r="AO735" s="21"/>
      <c r="AP735" s="64"/>
      <c r="AQ735" s="64"/>
      <c r="AR735" s="21"/>
      <c r="AS735" s="21"/>
      <c r="AT735" s="21"/>
      <c r="AU735" s="22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</row>
    <row r="736" spans="38:59">
      <c r="AL736" s="21"/>
      <c r="AM736" s="24"/>
      <c r="AN736" s="21"/>
      <c r="AO736" s="21"/>
      <c r="AP736" s="64"/>
      <c r="AQ736" s="64"/>
      <c r="AR736" s="21"/>
      <c r="AS736" s="21"/>
      <c r="AT736" s="21"/>
      <c r="AU736" s="22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</row>
    <row r="737" spans="38:59">
      <c r="AL737" s="21"/>
      <c r="AM737" s="24"/>
      <c r="AN737" s="21"/>
      <c r="AO737" s="21"/>
      <c r="AP737" s="64"/>
      <c r="AQ737" s="64"/>
      <c r="AR737" s="21"/>
      <c r="AS737" s="21"/>
      <c r="AT737" s="21"/>
      <c r="AU737" s="22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</row>
    <row r="738" spans="38:59">
      <c r="AL738" s="21"/>
      <c r="AM738" s="24"/>
      <c r="AN738" s="21"/>
      <c r="AO738" s="21"/>
      <c r="AP738" s="64"/>
      <c r="AQ738" s="64"/>
      <c r="AR738" s="21"/>
      <c r="AS738" s="21"/>
      <c r="AT738" s="21"/>
      <c r="AU738" s="22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</row>
    <row r="739" spans="38:59">
      <c r="AL739" s="21"/>
      <c r="AM739" s="24"/>
      <c r="AN739" s="21"/>
      <c r="AO739" s="21"/>
      <c r="AP739" s="64"/>
      <c r="AQ739" s="64"/>
      <c r="AR739" s="21"/>
      <c r="AS739" s="21"/>
      <c r="AT739" s="21"/>
      <c r="AU739" s="22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</row>
    <row r="740" spans="38:59">
      <c r="AL740" s="21"/>
      <c r="AM740" s="24"/>
      <c r="AN740" s="21"/>
      <c r="AO740" s="21"/>
      <c r="AP740" s="64"/>
      <c r="AQ740" s="64"/>
      <c r="AR740" s="21"/>
      <c r="AS740" s="21"/>
      <c r="AT740" s="21"/>
      <c r="AU740" s="22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</row>
    <row r="741" spans="38:59">
      <c r="AL741" s="21"/>
      <c r="AM741" s="24"/>
      <c r="AN741" s="21"/>
      <c r="AO741" s="21"/>
      <c r="AP741" s="64"/>
      <c r="AQ741" s="64"/>
      <c r="AR741" s="21"/>
      <c r="AS741" s="21"/>
      <c r="AT741" s="21"/>
      <c r="AU741" s="22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</row>
    <row r="742" spans="38:59">
      <c r="AL742" s="21"/>
      <c r="AM742" s="24"/>
      <c r="AN742" s="21"/>
      <c r="AO742" s="21"/>
      <c r="AP742" s="64"/>
      <c r="AQ742" s="64"/>
      <c r="AR742" s="21"/>
      <c r="AS742" s="21"/>
      <c r="AT742" s="21"/>
      <c r="AU742" s="22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</row>
    <row r="743" spans="38:59">
      <c r="AL743" s="21"/>
      <c r="AM743" s="24"/>
      <c r="AN743" s="21"/>
      <c r="AO743" s="21"/>
      <c r="AP743" s="64"/>
      <c r="AQ743" s="64"/>
      <c r="AR743" s="21"/>
      <c r="AS743" s="21"/>
      <c r="AT743" s="21"/>
      <c r="AU743" s="22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</row>
    <row r="744" spans="38:59">
      <c r="AL744" s="21"/>
      <c r="AM744" s="24"/>
      <c r="AN744" s="21"/>
      <c r="AO744" s="21"/>
      <c r="AP744" s="64"/>
      <c r="AQ744" s="64"/>
      <c r="AR744" s="21"/>
      <c r="AS744" s="21"/>
      <c r="AT744" s="21"/>
      <c r="AU744" s="22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</row>
    <row r="745" spans="38:59">
      <c r="AL745" s="21"/>
      <c r="AM745" s="24"/>
      <c r="AN745" s="21"/>
      <c r="AO745" s="21"/>
      <c r="AP745" s="64"/>
      <c r="AQ745" s="64"/>
      <c r="AR745" s="21"/>
      <c r="AS745" s="21"/>
      <c r="AT745" s="21"/>
      <c r="AU745" s="22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</row>
    <row r="746" spans="38:59">
      <c r="AL746" s="21"/>
      <c r="AM746" s="24"/>
      <c r="AN746" s="21"/>
      <c r="AO746" s="21"/>
      <c r="AP746" s="64"/>
      <c r="AQ746" s="64"/>
      <c r="AR746" s="21"/>
      <c r="AS746" s="21"/>
      <c r="AT746" s="21"/>
      <c r="AU746" s="22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</row>
    <row r="747" spans="38:59">
      <c r="AL747" s="21"/>
      <c r="AM747" s="24"/>
      <c r="AN747" s="21"/>
      <c r="AO747" s="21"/>
      <c r="AP747" s="64"/>
      <c r="AQ747" s="64"/>
      <c r="AR747" s="21"/>
      <c r="AS747" s="21"/>
      <c r="AT747" s="21"/>
      <c r="AU747" s="22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</row>
    <row r="748" spans="38:59">
      <c r="AL748" s="21"/>
      <c r="AM748" s="24"/>
      <c r="AN748" s="21"/>
      <c r="AO748" s="21"/>
      <c r="AP748" s="64"/>
      <c r="AQ748" s="64"/>
      <c r="AR748" s="21"/>
      <c r="AS748" s="21"/>
      <c r="AT748" s="21"/>
      <c r="AU748" s="22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</row>
    <row r="749" spans="38:59">
      <c r="AL749" s="21"/>
      <c r="AM749" s="24"/>
      <c r="AN749" s="21"/>
      <c r="AO749" s="21"/>
      <c r="AP749" s="64"/>
      <c r="AQ749" s="64"/>
      <c r="AR749" s="21"/>
      <c r="AS749" s="21"/>
      <c r="AT749" s="21"/>
      <c r="AU749" s="22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</row>
    <row r="750" spans="38:59">
      <c r="AL750" s="21"/>
      <c r="AM750" s="24"/>
      <c r="AN750" s="21"/>
      <c r="AO750" s="21"/>
      <c r="AP750" s="64"/>
      <c r="AQ750" s="64"/>
      <c r="AR750" s="21"/>
      <c r="AS750" s="21"/>
      <c r="AT750" s="21"/>
      <c r="AU750" s="22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</row>
    <row r="751" spans="38:59">
      <c r="AL751" s="21"/>
      <c r="AM751" s="24"/>
      <c r="AN751" s="21"/>
      <c r="AO751" s="21"/>
      <c r="AP751" s="64"/>
      <c r="AQ751" s="64"/>
      <c r="AR751" s="21"/>
      <c r="AS751" s="21"/>
      <c r="AT751" s="21"/>
      <c r="AU751" s="22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</row>
    <row r="752" spans="38:59">
      <c r="AL752" s="21"/>
      <c r="AM752" s="24"/>
      <c r="AN752" s="21"/>
      <c r="AO752" s="21"/>
      <c r="AP752" s="64"/>
      <c r="AQ752" s="64"/>
      <c r="AR752" s="21"/>
      <c r="AS752" s="21"/>
      <c r="AT752" s="21"/>
      <c r="AU752" s="22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</row>
    <row r="753" spans="38:59">
      <c r="AL753" s="21"/>
      <c r="AM753" s="24"/>
      <c r="AN753" s="21"/>
      <c r="AO753" s="21"/>
      <c r="AP753" s="64"/>
      <c r="AQ753" s="64"/>
      <c r="AR753" s="21"/>
      <c r="AS753" s="21"/>
      <c r="AT753" s="21"/>
      <c r="AU753" s="22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</row>
    <row r="754" spans="38:59">
      <c r="AL754" s="21"/>
      <c r="AM754" s="24"/>
      <c r="AN754" s="21"/>
      <c r="AO754" s="21"/>
      <c r="AP754" s="64"/>
      <c r="AQ754" s="64"/>
      <c r="AR754" s="21"/>
      <c r="AS754" s="21"/>
      <c r="AT754" s="21"/>
      <c r="AU754" s="22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</row>
    <row r="755" spans="38:59">
      <c r="AL755" s="21"/>
      <c r="AM755" s="24"/>
      <c r="AN755" s="21"/>
      <c r="AO755" s="21"/>
      <c r="AP755" s="64"/>
      <c r="AQ755" s="64"/>
      <c r="AR755" s="21"/>
      <c r="AS755" s="21"/>
      <c r="AT755" s="21"/>
      <c r="AU755" s="22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</row>
    <row r="756" spans="38:59">
      <c r="AL756" s="21"/>
      <c r="AM756" s="24"/>
      <c r="AN756" s="21"/>
      <c r="AO756" s="21"/>
      <c r="AP756" s="64"/>
      <c r="AQ756" s="64"/>
      <c r="AR756" s="21"/>
      <c r="AS756" s="21"/>
      <c r="AT756" s="21"/>
      <c r="AU756" s="22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</row>
    <row r="757" spans="38:59">
      <c r="AL757" s="21"/>
      <c r="AM757" s="24"/>
      <c r="AN757" s="21"/>
      <c r="AO757" s="21"/>
      <c r="AP757" s="64"/>
      <c r="AQ757" s="64"/>
      <c r="AR757" s="21"/>
      <c r="AS757" s="21"/>
      <c r="AT757" s="21"/>
      <c r="AU757" s="22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</row>
    <row r="758" spans="38:59">
      <c r="AL758" s="21"/>
      <c r="AM758" s="24"/>
      <c r="AN758" s="21"/>
      <c r="AO758" s="21"/>
      <c r="AP758" s="64"/>
      <c r="AQ758" s="64"/>
      <c r="AR758" s="21"/>
      <c r="AS758" s="21"/>
      <c r="AT758" s="21"/>
      <c r="AU758" s="22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</row>
    <row r="759" spans="38:59">
      <c r="AL759" s="21"/>
      <c r="AM759" s="24"/>
      <c r="AN759" s="21"/>
      <c r="AO759" s="21"/>
      <c r="AP759" s="64"/>
      <c r="AQ759" s="64"/>
      <c r="AR759" s="21"/>
      <c r="AS759" s="21"/>
      <c r="AT759" s="21"/>
      <c r="AU759" s="22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</row>
    <row r="760" spans="38:59">
      <c r="AL760" s="21"/>
      <c r="AM760" s="24"/>
      <c r="AN760" s="21"/>
      <c r="AO760" s="21"/>
      <c r="AP760" s="64"/>
      <c r="AQ760" s="64"/>
      <c r="AR760" s="21"/>
      <c r="AS760" s="21"/>
      <c r="AT760" s="21"/>
      <c r="AU760" s="22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</row>
    <row r="761" spans="38:59">
      <c r="AL761" s="21"/>
      <c r="AM761" s="24"/>
      <c r="AN761" s="21"/>
      <c r="AO761" s="21"/>
      <c r="AP761" s="64"/>
      <c r="AQ761" s="64"/>
      <c r="AR761" s="21"/>
      <c r="AS761" s="21"/>
      <c r="AT761" s="21"/>
      <c r="AU761" s="22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</row>
    <row r="762" spans="38:59">
      <c r="AL762" s="21"/>
      <c r="AM762" s="24"/>
      <c r="AN762" s="21"/>
      <c r="AO762" s="21"/>
      <c r="AP762" s="64"/>
      <c r="AQ762" s="64"/>
      <c r="AR762" s="21"/>
      <c r="AS762" s="21"/>
      <c r="AT762" s="21"/>
      <c r="AU762" s="22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</row>
    <row r="763" spans="38:59">
      <c r="AL763" s="21"/>
      <c r="AM763" s="24"/>
      <c r="AN763" s="21"/>
      <c r="AO763" s="21"/>
      <c r="AP763" s="64"/>
      <c r="AQ763" s="64"/>
      <c r="AR763" s="21"/>
      <c r="AS763" s="21"/>
      <c r="AT763" s="21"/>
      <c r="AU763" s="22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</row>
    <row r="764" spans="38:59">
      <c r="AL764" s="21"/>
      <c r="AM764" s="24"/>
      <c r="AN764" s="21"/>
      <c r="AO764" s="21"/>
      <c r="AP764" s="64"/>
      <c r="AQ764" s="64"/>
      <c r="AR764" s="21"/>
      <c r="AS764" s="21"/>
      <c r="AT764" s="21"/>
      <c r="AU764" s="22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</row>
    <row r="765" spans="38:59">
      <c r="AL765" s="21"/>
      <c r="AM765" s="24"/>
      <c r="AN765" s="21"/>
      <c r="AO765" s="21"/>
      <c r="AP765" s="64"/>
      <c r="AQ765" s="64"/>
      <c r="AR765" s="21"/>
      <c r="AS765" s="21"/>
      <c r="AT765" s="21"/>
      <c r="AU765" s="22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</row>
    <row r="766" spans="38:59">
      <c r="AL766" s="21"/>
      <c r="AM766" s="24"/>
      <c r="AN766" s="21"/>
      <c r="AO766" s="21"/>
      <c r="AP766" s="64"/>
      <c r="AQ766" s="64"/>
      <c r="AR766" s="21"/>
      <c r="AS766" s="21"/>
      <c r="AT766" s="21"/>
      <c r="AU766" s="22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</row>
    <row r="767" spans="38:59">
      <c r="AL767" s="21"/>
      <c r="AM767" s="24"/>
      <c r="AN767" s="21"/>
      <c r="AO767" s="21"/>
      <c r="AP767" s="64"/>
      <c r="AQ767" s="64"/>
      <c r="AR767" s="21"/>
      <c r="AS767" s="21"/>
      <c r="AT767" s="21"/>
      <c r="AU767" s="22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</row>
    <row r="768" spans="38:59">
      <c r="AL768" s="21"/>
      <c r="AM768" s="24"/>
      <c r="AN768" s="21"/>
      <c r="AO768" s="21"/>
      <c r="AP768" s="64"/>
      <c r="AQ768" s="64"/>
      <c r="AR768" s="21"/>
      <c r="AS768" s="21"/>
      <c r="AT768" s="21"/>
      <c r="AU768" s="22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</row>
    <row r="769" spans="38:59">
      <c r="AL769" s="21"/>
      <c r="AM769" s="24"/>
      <c r="AN769" s="21"/>
      <c r="AO769" s="21"/>
      <c r="AP769" s="64"/>
      <c r="AQ769" s="64"/>
      <c r="AR769" s="21"/>
      <c r="AS769" s="21"/>
      <c r="AT769" s="21"/>
      <c r="AU769" s="22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</row>
    <row r="770" spans="38:59">
      <c r="AL770" s="21"/>
      <c r="AM770" s="24"/>
      <c r="AN770" s="21"/>
      <c r="AO770" s="21"/>
      <c r="AP770" s="64"/>
      <c r="AQ770" s="64"/>
      <c r="AR770" s="21"/>
      <c r="AS770" s="21"/>
      <c r="AT770" s="21"/>
      <c r="AU770" s="22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</row>
    <row r="771" spans="38:59">
      <c r="AL771" s="21"/>
      <c r="AM771" s="24"/>
      <c r="AN771" s="21"/>
      <c r="AO771" s="21"/>
      <c r="AP771" s="64"/>
      <c r="AQ771" s="64"/>
      <c r="AR771" s="21"/>
      <c r="AS771" s="21"/>
      <c r="AT771" s="21"/>
      <c r="AU771" s="22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</row>
    <row r="772" spans="38:59">
      <c r="AL772" s="21"/>
      <c r="AM772" s="24"/>
      <c r="AN772" s="21"/>
      <c r="AO772" s="21"/>
      <c r="AP772" s="64"/>
      <c r="AQ772" s="64"/>
      <c r="AR772" s="21"/>
      <c r="AS772" s="21"/>
      <c r="AT772" s="21"/>
      <c r="AU772" s="22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</row>
    <row r="773" spans="38:59">
      <c r="AL773" s="21"/>
      <c r="AM773" s="24"/>
      <c r="AN773" s="21"/>
      <c r="AO773" s="21"/>
      <c r="AP773" s="64"/>
      <c r="AQ773" s="64"/>
      <c r="AR773" s="21"/>
      <c r="AS773" s="21"/>
      <c r="AT773" s="21"/>
      <c r="AU773" s="22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</row>
    <row r="774" spans="38:59">
      <c r="AL774" s="21"/>
      <c r="AM774" s="24"/>
      <c r="AN774" s="21"/>
      <c r="AO774" s="21"/>
      <c r="AP774" s="64"/>
      <c r="AQ774" s="64"/>
      <c r="AR774" s="21"/>
      <c r="AS774" s="21"/>
      <c r="AT774" s="21"/>
      <c r="AU774" s="22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</row>
    <row r="775" spans="38:59">
      <c r="AL775" s="21"/>
      <c r="AM775" s="24"/>
      <c r="AN775" s="21"/>
      <c r="AO775" s="21"/>
      <c r="AP775" s="64"/>
      <c r="AQ775" s="64"/>
      <c r="AR775" s="21"/>
      <c r="AS775" s="21"/>
      <c r="AT775" s="21"/>
      <c r="AU775" s="22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</row>
    <row r="776" spans="38:59">
      <c r="AL776" s="21"/>
      <c r="AM776" s="24"/>
      <c r="AN776" s="21"/>
      <c r="AO776" s="21"/>
      <c r="AP776" s="64"/>
      <c r="AQ776" s="64"/>
      <c r="AR776" s="21"/>
      <c r="AS776" s="21"/>
      <c r="AT776" s="21"/>
      <c r="AU776" s="22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</row>
    <row r="777" spans="38:59">
      <c r="AL777" s="21"/>
      <c r="AM777" s="24"/>
      <c r="AN777" s="21"/>
      <c r="AO777" s="21"/>
      <c r="AP777" s="64"/>
      <c r="AQ777" s="64"/>
      <c r="AR777" s="21"/>
      <c r="AS777" s="21"/>
      <c r="AT777" s="21"/>
      <c r="AU777" s="22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</row>
    <row r="778" spans="38:59">
      <c r="AL778" s="21"/>
      <c r="AM778" s="24"/>
      <c r="AN778" s="21"/>
      <c r="AO778" s="21"/>
      <c r="AP778" s="64"/>
      <c r="AQ778" s="64"/>
      <c r="AR778" s="21"/>
      <c r="AS778" s="21"/>
      <c r="AT778" s="21"/>
      <c r="AU778" s="22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</row>
    <row r="779" spans="38:59">
      <c r="AL779" s="21"/>
      <c r="AM779" s="24"/>
      <c r="AN779" s="21"/>
      <c r="AO779" s="21"/>
      <c r="AP779" s="64"/>
      <c r="AQ779" s="64"/>
      <c r="AR779" s="21"/>
      <c r="AS779" s="21"/>
      <c r="AT779" s="21"/>
      <c r="AU779" s="22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</row>
    <row r="780" spans="38:59">
      <c r="AL780" s="21"/>
      <c r="AM780" s="24"/>
      <c r="AN780" s="21"/>
      <c r="AO780" s="21"/>
      <c r="AP780" s="64"/>
      <c r="AQ780" s="64"/>
      <c r="AR780" s="21"/>
      <c r="AS780" s="21"/>
      <c r="AT780" s="21"/>
      <c r="AU780" s="22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</row>
    <row r="781" spans="38:59">
      <c r="AL781" s="21"/>
      <c r="AM781" s="24"/>
      <c r="AN781" s="21"/>
      <c r="AO781" s="21"/>
      <c r="AP781" s="64"/>
      <c r="AQ781" s="64"/>
      <c r="AR781" s="21"/>
      <c r="AS781" s="21"/>
      <c r="AT781" s="21"/>
      <c r="AU781" s="22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</row>
    <row r="782" spans="38:59">
      <c r="AL782" s="21"/>
      <c r="AM782" s="24"/>
      <c r="AN782" s="21"/>
      <c r="AO782" s="21"/>
      <c r="AP782" s="64"/>
      <c r="AQ782" s="64"/>
      <c r="AR782" s="21"/>
      <c r="AS782" s="21"/>
      <c r="AT782" s="21"/>
      <c r="AU782" s="22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</row>
    <row r="783" spans="38:59">
      <c r="AL783" s="21"/>
      <c r="AM783" s="24"/>
      <c r="AN783" s="21"/>
      <c r="AO783" s="21"/>
      <c r="AP783" s="64"/>
      <c r="AQ783" s="64"/>
      <c r="AR783" s="21"/>
      <c r="AS783" s="21"/>
      <c r="AT783" s="21"/>
      <c r="AU783" s="22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</row>
    <row r="784" spans="38:59">
      <c r="AL784" s="21"/>
      <c r="AM784" s="24"/>
      <c r="AN784" s="21"/>
      <c r="AO784" s="21"/>
      <c r="AP784" s="64"/>
      <c r="AQ784" s="64"/>
      <c r="AR784" s="21"/>
      <c r="AS784" s="21"/>
      <c r="AT784" s="21"/>
      <c r="AU784" s="22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</row>
    <row r="785" spans="38:59">
      <c r="AL785" s="21"/>
      <c r="AM785" s="24"/>
      <c r="AN785" s="21"/>
      <c r="AO785" s="21"/>
      <c r="AP785" s="64"/>
      <c r="AQ785" s="64"/>
      <c r="AR785" s="21"/>
      <c r="AS785" s="21"/>
      <c r="AT785" s="21"/>
      <c r="AU785" s="22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</row>
    <row r="786" spans="38:59">
      <c r="AL786" s="21"/>
      <c r="AM786" s="24"/>
      <c r="AN786" s="21"/>
      <c r="AO786" s="21"/>
      <c r="AP786" s="64"/>
      <c r="AQ786" s="64"/>
      <c r="AR786" s="21"/>
      <c r="AS786" s="21"/>
      <c r="AT786" s="21"/>
      <c r="AU786" s="22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</row>
    <row r="787" spans="38:59">
      <c r="AL787" s="21"/>
      <c r="AM787" s="24"/>
      <c r="AN787" s="21"/>
      <c r="AO787" s="21"/>
      <c r="AP787" s="64"/>
      <c r="AQ787" s="64"/>
      <c r="AR787" s="21"/>
      <c r="AS787" s="21"/>
      <c r="AT787" s="21"/>
      <c r="AU787" s="22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</row>
    <row r="788" spans="38:59">
      <c r="AL788" s="21"/>
      <c r="AM788" s="24"/>
      <c r="AN788" s="21"/>
      <c r="AO788" s="21"/>
      <c r="AP788" s="64"/>
      <c r="AQ788" s="64"/>
      <c r="AR788" s="21"/>
      <c r="AS788" s="21"/>
      <c r="AT788" s="21"/>
      <c r="AU788" s="22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</row>
    <row r="789" spans="38:59">
      <c r="AL789" s="21"/>
      <c r="AM789" s="24"/>
      <c r="AN789" s="21"/>
      <c r="AO789" s="21"/>
      <c r="AP789" s="64"/>
      <c r="AQ789" s="64"/>
      <c r="AR789" s="21"/>
      <c r="AS789" s="21"/>
      <c r="AT789" s="21"/>
      <c r="AU789" s="22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</row>
    <row r="790" spans="38:59">
      <c r="AL790" s="21"/>
      <c r="AM790" s="24"/>
      <c r="AN790" s="21"/>
      <c r="AO790" s="21"/>
      <c r="AP790" s="64"/>
      <c r="AQ790" s="64"/>
      <c r="AR790" s="21"/>
      <c r="AS790" s="21"/>
      <c r="AT790" s="21"/>
      <c r="AU790" s="22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</row>
    <row r="791" spans="38:59">
      <c r="AL791" s="21"/>
      <c r="AM791" s="24"/>
      <c r="AN791" s="21"/>
      <c r="AO791" s="21"/>
      <c r="AP791" s="64"/>
      <c r="AQ791" s="64"/>
      <c r="AR791" s="21"/>
      <c r="AS791" s="21"/>
      <c r="AT791" s="21"/>
      <c r="AU791" s="22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</row>
    <row r="792" spans="38:59">
      <c r="AL792" s="21"/>
      <c r="AM792" s="24"/>
      <c r="AN792" s="21"/>
      <c r="AO792" s="21"/>
      <c r="AP792" s="64"/>
      <c r="AQ792" s="64"/>
      <c r="AR792" s="21"/>
      <c r="AS792" s="21"/>
      <c r="AT792" s="21"/>
      <c r="AU792" s="22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</row>
    <row r="793" spans="38:59">
      <c r="AL793" s="21"/>
      <c r="AM793" s="24"/>
      <c r="AN793" s="21"/>
      <c r="AO793" s="21"/>
      <c r="AP793" s="64"/>
      <c r="AQ793" s="64"/>
      <c r="AR793" s="21"/>
      <c r="AS793" s="21"/>
      <c r="AT793" s="21"/>
      <c r="AU793" s="22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</row>
    <row r="794" spans="38:59">
      <c r="AL794" s="21"/>
      <c r="AM794" s="24"/>
      <c r="AN794" s="21"/>
      <c r="AO794" s="21"/>
      <c r="AP794" s="64"/>
      <c r="AQ794" s="64"/>
      <c r="AR794" s="21"/>
      <c r="AS794" s="21"/>
      <c r="AT794" s="21"/>
      <c r="AU794" s="22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</row>
    <row r="795" spans="38:59">
      <c r="AL795" s="21"/>
      <c r="AM795" s="24"/>
      <c r="AN795" s="21"/>
      <c r="AO795" s="21"/>
      <c r="AP795" s="64"/>
      <c r="AQ795" s="64"/>
      <c r="AR795" s="21"/>
      <c r="AS795" s="21"/>
      <c r="AT795" s="21"/>
      <c r="AU795" s="22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</row>
    <row r="796" spans="38:59">
      <c r="AL796" s="21"/>
      <c r="AM796" s="24"/>
      <c r="AN796" s="21"/>
      <c r="AO796" s="21"/>
      <c r="AP796" s="64"/>
      <c r="AQ796" s="64"/>
      <c r="AR796" s="21"/>
      <c r="AS796" s="21"/>
      <c r="AT796" s="21"/>
      <c r="AU796" s="22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</row>
    <row r="797" spans="38:59">
      <c r="AL797" s="21"/>
      <c r="AM797" s="24"/>
      <c r="AN797" s="21"/>
      <c r="AO797" s="21"/>
      <c r="AP797" s="64"/>
      <c r="AQ797" s="64"/>
      <c r="AR797" s="21"/>
      <c r="AS797" s="21"/>
      <c r="AT797" s="21"/>
      <c r="AU797" s="22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</row>
    <row r="798" spans="38:59">
      <c r="AL798" s="21"/>
      <c r="AM798" s="24"/>
      <c r="AN798" s="21"/>
      <c r="AO798" s="21"/>
      <c r="AP798" s="64"/>
      <c r="AQ798" s="64"/>
      <c r="AR798" s="21"/>
      <c r="AS798" s="21"/>
      <c r="AT798" s="21"/>
      <c r="AU798" s="22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</row>
    <row r="799" spans="38:59">
      <c r="AL799" s="21"/>
      <c r="AM799" s="24"/>
      <c r="AN799" s="21"/>
      <c r="AO799" s="21"/>
      <c r="AP799" s="64"/>
      <c r="AQ799" s="64"/>
      <c r="AR799" s="21"/>
      <c r="AS799" s="21"/>
      <c r="AT799" s="21"/>
      <c r="AU799" s="22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</row>
    <row r="800" spans="38:59">
      <c r="AL800" s="21"/>
      <c r="AM800" s="24"/>
      <c r="AN800" s="21"/>
      <c r="AO800" s="21"/>
      <c r="AP800" s="64"/>
      <c r="AQ800" s="64"/>
      <c r="AR800" s="21"/>
      <c r="AS800" s="21"/>
      <c r="AT800" s="21"/>
      <c r="AU800" s="22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</row>
    <row r="801" spans="38:59">
      <c r="AL801" s="21"/>
      <c r="AM801" s="24"/>
      <c r="AN801" s="21"/>
      <c r="AO801" s="21"/>
      <c r="AP801" s="64"/>
      <c r="AQ801" s="64"/>
      <c r="AR801" s="21"/>
      <c r="AS801" s="21"/>
      <c r="AT801" s="21"/>
      <c r="AU801" s="22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</row>
    <row r="802" spans="38:59">
      <c r="AL802" s="21"/>
      <c r="AM802" s="24"/>
      <c r="AN802" s="21"/>
      <c r="AO802" s="21"/>
      <c r="AP802" s="64"/>
      <c r="AQ802" s="64"/>
      <c r="AR802" s="21"/>
      <c r="AS802" s="21"/>
      <c r="AT802" s="21"/>
      <c r="AU802" s="22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</row>
    <row r="803" spans="38:59">
      <c r="AL803" s="21"/>
      <c r="AM803" s="24"/>
      <c r="AN803" s="21"/>
      <c r="AO803" s="21"/>
      <c r="AP803" s="64"/>
      <c r="AQ803" s="64"/>
      <c r="AR803" s="21"/>
      <c r="AS803" s="21"/>
      <c r="AT803" s="21"/>
      <c r="AU803" s="22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</row>
    <row r="804" spans="38:59">
      <c r="AL804" s="21"/>
      <c r="AM804" s="24"/>
      <c r="AN804" s="21"/>
      <c r="AO804" s="21"/>
      <c r="AP804" s="64"/>
      <c r="AQ804" s="64"/>
      <c r="AR804" s="21"/>
      <c r="AS804" s="21"/>
      <c r="AT804" s="21"/>
      <c r="AU804" s="22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</row>
    <row r="805" spans="38:59">
      <c r="AL805" s="21"/>
      <c r="AM805" s="24"/>
      <c r="AN805" s="21"/>
      <c r="AO805" s="21"/>
      <c r="AP805" s="64"/>
      <c r="AQ805" s="64"/>
      <c r="AR805" s="21"/>
      <c r="AS805" s="21"/>
      <c r="AT805" s="21"/>
      <c r="AU805" s="22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</row>
    <row r="806" spans="38:59">
      <c r="AL806" s="21"/>
      <c r="AM806" s="24"/>
      <c r="AN806" s="21"/>
      <c r="AO806" s="21"/>
      <c r="AP806" s="64"/>
      <c r="AQ806" s="64"/>
      <c r="AR806" s="21"/>
      <c r="AS806" s="21"/>
      <c r="AT806" s="21"/>
      <c r="AU806" s="22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</row>
    <row r="807" spans="38:59">
      <c r="AL807" s="21"/>
      <c r="AM807" s="24"/>
      <c r="AN807" s="21"/>
      <c r="AO807" s="21"/>
      <c r="AP807" s="64"/>
      <c r="AQ807" s="64"/>
      <c r="AR807" s="21"/>
      <c r="AS807" s="21"/>
      <c r="AT807" s="21"/>
      <c r="AU807" s="22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</row>
    <row r="808" spans="38:59">
      <c r="AL808" s="21"/>
      <c r="AM808" s="24"/>
      <c r="AN808" s="21"/>
      <c r="AO808" s="21"/>
      <c r="AP808" s="64"/>
      <c r="AQ808" s="64"/>
      <c r="AR808" s="21"/>
      <c r="AS808" s="21"/>
      <c r="AT808" s="21"/>
      <c r="AU808" s="22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</row>
    <row r="809" spans="38:59">
      <c r="AL809" s="21"/>
      <c r="AM809" s="24"/>
      <c r="AN809" s="21"/>
      <c r="AO809" s="21"/>
      <c r="AP809" s="64"/>
      <c r="AQ809" s="64"/>
      <c r="AR809" s="21"/>
      <c r="AS809" s="21"/>
      <c r="AT809" s="21"/>
      <c r="AU809" s="22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</row>
    <row r="810" spans="38:59">
      <c r="AL810" s="21"/>
      <c r="AM810" s="24"/>
      <c r="AN810" s="21"/>
      <c r="AO810" s="21"/>
      <c r="AP810" s="64"/>
      <c r="AQ810" s="64"/>
      <c r="AR810" s="21"/>
      <c r="AS810" s="21"/>
      <c r="AT810" s="21"/>
      <c r="AU810" s="22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</row>
    <row r="811" spans="38:59">
      <c r="AL811" s="21"/>
      <c r="AM811" s="24"/>
      <c r="AN811" s="21"/>
      <c r="AO811" s="21"/>
      <c r="AP811" s="64"/>
      <c r="AQ811" s="64"/>
      <c r="AR811" s="21"/>
      <c r="AS811" s="21"/>
      <c r="AT811" s="21"/>
      <c r="AU811" s="22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</row>
    <row r="812" spans="38:59">
      <c r="AL812" s="21"/>
      <c r="AM812" s="24"/>
      <c r="AN812" s="21"/>
      <c r="AO812" s="21"/>
      <c r="AP812" s="64"/>
      <c r="AQ812" s="64"/>
      <c r="AR812" s="21"/>
      <c r="AS812" s="21"/>
      <c r="AT812" s="21"/>
      <c r="AU812" s="22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</row>
    <row r="813" spans="38:59">
      <c r="AL813" s="21"/>
      <c r="AM813" s="24"/>
      <c r="AN813" s="21"/>
      <c r="AO813" s="21"/>
      <c r="AP813" s="64"/>
      <c r="AQ813" s="64"/>
      <c r="AR813" s="21"/>
      <c r="AS813" s="21"/>
      <c r="AT813" s="21"/>
      <c r="AU813" s="22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</row>
    <row r="814" spans="38:59">
      <c r="AL814" s="21"/>
      <c r="AM814" s="24"/>
      <c r="AN814" s="21"/>
      <c r="AO814" s="21"/>
      <c r="AP814" s="64"/>
      <c r="AQ814" s="64"/>
      <c r="AR814" s="21"/>
      <c r="AS814" s="21"/>
      <c r="AT814" s="21"/>
      <c r="AU814" s="22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</row>
    <row r="815" spans="38:59">
      <c r="AL815" s="21"/>
      <c r="AM815" s="24"/>
      <c r="AN815" s="21"/>
      <c r="AO815" s="21"/>
      <c r="AP815" s="64"/>
      <c r="AQ815" s="64"/>
      <c r="AR815" s="21"/>
      <c r="AS815" s="21"/>
      <c r="AT815" s="21"/>
      <c r="AU815" s="22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</row>
    <row r="816" spans="38:59">
      <c r="AL816" s="21"/>
      <c r="AM816" s="24"/>
      <c r="AN816" s="21"/>
      <c r="AO816" s="21"/>
      <c r="AP816" s="64"/>
      <c r="AQ816" s="64"/>
      <c r="AR816" s="21"/>
      <c r="AS816" s="21"/>
      <c r="AT816" s="21"/>
      <c r="AU816" s="22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</row>
    <row r="817" spans="38:59">
      <c r="AL817" s="21"/>
      <c r="AM817" s="24"/>
      <c r="AN817" s="21"/>
      <c r="AO817" s="21"/>
      <c r="AP817" s="64"/>
      <c r="AQ817" s="64"/>
      <c r="AR817" s="21"/>
      <c r="AS817" s="21"/>
      <c r="AT817" s="21"/>
      <c r="AU817" s="22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</row>
    <row r="818" spans="38:59">
      <c r="AL818" s="21"/>
      <c r="AM818" s="24"/>
      <c r="AN818" s="21"/>
      <c r="AO818" s="21"/>
      <c r="AP818" s="64"/>
      <c r="AQ818" s="64"/>
      <c r="AR818" s="21"/>
      <c r="AS818" s="21"/>
      <c r="AT818" s="21"/>
      <c r="AU818" s="22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</row>
    <row r="819" spans="38:59">
      <c r="AL819" s="21"/>
      <c r="AM819" s="24"/>
      <c r="AN819" s="21"/>
      <c r="AO819" s="21"/>
      <c r="AP819" s="64"/>
      <c r="AQ819" s="64"/>
      <c r="AR819" s="21"/>
      <c r="AS819" s="21"/>
      <c r="AT819" s="21"/>
      <c r="AU819" s="22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</row>
    <row r="820" spans="38:59">
      <c r="AL820" s="21"/>
      <c r="AM820" s="24"/>
      <c r="AN820" s="21"/>
      <c r="AO820" s="21"/>
      <c r="AP820" s="64"/>
      <c r="AQ820" s="64"/>
      <c r="AR820" s="21"/>
      <c r="AS820" s="21"/>
      <c r="AT820" s="21"/>
      <c r="AU820" s="22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</row>
    <row r="821" spans="38:59">
      <c r="AL821" s="21"/>
      <c r="AM821" s="24"/>
      <c r="AN821" s="21"/>
      <c r="AO821" s="21"/>
      <c r="AP821" s="64"/>
      <c r="AQ821" s="64"/>
      <c r="AR821" s="21"/>
      <c r="AS821" s="21"/>
      <c r="AT821" s="21"/>
      <c r="AU821" s="22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</row>
    <row r="822" spans="38:59">
      <c r="AL822" s="21"/>
      <c r="AM822" s="24"/>
      <c r="AN822" s="21"/>
      <c r="AO822" s="21"/>
      <c r="AP822" s="64"/>
      <c r="AQ822" s="64"/>
      <c r="AR822" s="21"/>
      <c r="AS822" s="21"/>
      <c r="AT822" s="21"/>
      <c r="AU822" s="22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</row>
    <row r="823" spans="38:59">
      <c r="AL823" s="21"/>
      <c r="AM823" s="24"/>
      <c r="AN823" s="21"/>
      <c r="AO823" s="21"/>
      <c r="AP823" s="64"/>
      <c r="AQ823" s="64"/>
      <c r="AR823" s="21"/>
      <c r="AS823" s="21"/>
      <c r="AT823" s="21"/>
      <c r="AU823" s="22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</row>
    <row r="824" spans="38:59">
      <c r="AL824" s="21"/>
      <c r="AM824" s="24"/>
      <c r="AN824" s="21"/>
      <c r="AO824" s="21"/>
      <c r="AP824" s="64"/>
      <c r="AQ824" s="64"/>
      <c r="AR824" s="21"/>
      <c r="AS824" s="21"/>
      <c r="AT824" s="21"/>
      <c r="AU824" s="22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</row>
    <row r="825" spans="38:59">
      <c r="AL825" s="21"/>
      <c r="AM825" s="24"/>
      <c r="AN825" s="21"/>
      <c r="AO825" s="21"/>
      <c r="AP825" s="64"/>
      <c r="AQ825" s="64"/>
      <c r="AR825" s="21"/>
      <c r="AS825" s="21"/>
      <c r="AT825" s="21"/>
      <c r="AU825" s="22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</row>
    <row r="826" spans="38:59">
      <c r="AL826" s="21"/>
      <c r="AM826" s="24"/>
      <c r="AN826" s="21"/>
      <c r="AO826" s="21"/>
      <c r="AP826" s="64"/>
      <c r="AQ826" s="64"/>
      <c r="AR826" s="21"/>
      <c r="AS826" s="21"/>
      <c r="AT826" s="21"/>
      <c r="AU826" s="22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</row>
    <row r="827" spans="38:59">
      <c r="AL827" s="21"/>
      <c r="AM827" s="24"/>
      <c r="AN827" s="21"/>
      <c r="AO827" s="21"/>
      <c r="AP827" s="64"/>
      <c r="AQ827" s="64"/>
      <c r="AR827" s="21"/>
      <c r="AS827" s="21"/>
      <c r="AT827" s="21"/>
      <c r="AU827" s="22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</row>
    <row r="828" spans="38:59">
      <c r="AL828" s="21"/>
      <c r="AM828" s="24"/>
      <c r="AN828" s="21"/>
      <c r="AO828" s="21"/>
      <c r="AP828" s="64"/>
      <c r="AQ828" s="64"/>
      <c r="AR828" s="21"/>
      <c r="AS828" s="21"/>
      <c r="AT828" s="21"/>
      <c r="AU828" s="22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</row>
    <row r="829" spans="38:59">
      <c r="AL829" s="21"/>
      <c r="AM829" s="24"/>
      <c r="AN829" s="21"/>
      <c r="AO829" s="21"/>
      <c r="AP829" s="64"/>
      <c r="AQ829" s="64"/>
      <c r="AR829" s="21"/>
      <c r="AS829" s="21"/>
      <c r="AT829" s="21"/>
      <c r="AU829" s="22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</row>
    <row r="830" spans="38:59">
      <c r="AL830" s="21"/>
      <c r="AM830" s="24"/>
      <c r="AN830" s="21"/>
      <c r="AO830" s="21"/>
      <c r="AP830" s="64"/>
      <c r="AQ830" s="64"/>
      <c r="AR830" s="21"/>
      <c r="AS830" s="21"/>
      <c r="AT830" s="21"/>
      <c r="AU830" s="22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</row>
    <row r="831" spans="38:59">
      <c r="AL831" s="21"/>
      <c r="AM831" s="24"/>
      <c r="AN831" s="21"/>
      <c r="AO831" s="21"/>
      <c r="AP831" s="64"/>
      <c r="AQ831" s="64"/>
      <c r="AR831" s="21"/>
      <c r="AS831" s="21"/>
      <c r="AT831" s="21"/>
      <c r="AU831" s="22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</row>
    <row r="832" spans="38:59">
      <c r="AL832" s="21"/>
      <c r="AM832" s="24"/>
      <c r="AN832" s="21"/>
      <c r="AO832" s="21"/>
      <c r="AP832" s="64"/>
      <c r="AQ832" s="64"/>
      <c r="AR832" s="21"/>
      <c r="AS832" s="21"/>
      <c r="AT832" s="21"/>
      <c r="AU832" s="22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</row>
    <row r="833" spans="38:59">
      <c r="AL833" s="21"/>
      <c r="AM833" s="24"/>
      <c r="AN833" s="21"/>
      <c r="AO833" s="21"/>
      <c r="AP833" s="64"/>
      <c r="AQ833" s="64"/>
      <c r="AR833" s="21"/>
      <c r="AS833" s="21"/>
      <c r="AT833" s="21"/>
      <c r="AU833" s="22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</row>
    <row r="834" spans="38:59">
      <c r="AL834" s="21"/>
      <c r="AM834" s="24"/>
      <c r="AN834" s="21"/>
      <c r="AO834" s="21"/>
      <c r="AP834" s="64"/>
      <c r="AQ834" s="64"/>
      <c r="AR834" s="21"/>
      <c r="AS834" s="21"/>
      <c r="AT834" s="21"/>
      <c r="AU834" s="22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</row>
    <row r="835" spans="38:59">
      <c r="AL835" s="21"/>
      <c r="AM835" s="24"/>
      <c r="AN835" s="21"/>
      <c r="AO835" s="21"/>
      <c r="AP835" s="64"/>
      <c r="AQ835" s="64"/>
      <c r="AR835" s="21"/>
      <c r="AS835" s="21"/>
      <c r="AT835" s="21"/>
      <c r="AU835" s="22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</row>
    <row r="836" spans="38:59">
      <c r="AL836" s="21"/>
      <c r="AM836" s="24"/>
      <c r="AN836" s="21"/>
      <c r="AO836" s="21"/>
      <c r="AP836" s="64"/>
      <c r="AQ836" s="64"/>
      <c r="AR836" s="21"/>
      <c r="AS836" s="21"/>
      <c r="AT836" s="21"/>
      <c r="AU836" s="22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</row>
    <row r="837" spans="38:59">
      <c r="AL837" s="21"/>
      <c r="AM837" s="24"/>
      <c r="AN837" s="21"/>
      <c r="AO837" s="21"/>
      <c r="AP837" s="64"/>
      <c r="AQ837" s="64"/>
      <c r="AR837" s="21"/>
      <c r="AS837" s="21"/>
      <c r="AT837" s="21"/>
      <c r="AU837" s="22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</row>
    <row r="838" spans="38:59">
      <c r="AL838" s="21"/>
      <c r="AM838" s="24"/>
      <c r="AN838" s="21"/>
      <c r="AO838" s="21"/>
      <c r="AP838" s="64"/>
      <c r="AQ838" s="64"/>
      <c r="AR838" s="21"/>
      <c r="AS838" s="21"/>
      <c r="AT838" s="21"/>
      <c r="AU838" s="22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</row>
    <row r="839" spans="38:59">
      <c r="AL839" s="21"/>
      <c r="AM839" s="24"/>
      <c r="AN839" s="21"/>
      <c r="AO839" s="21"/>
      <c r="AP839" s="64"/>
      <c r="AQ839" s="64"/>
      <c r="AR839" s="21"/>
      <c r="AS839" s="21"/>
      <c r="AT839" s="21"/>
      <c r="AU839" s="22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</row>
    <row r="840" spans="38:59">
      <c r="AL840" s="21"/>
      <c r="AM840" s="24"/>
      <c r="AN840" s="21"/>
      <c r="AO840" s="21"/>
      <c r="AP840" s="64"/>
      <c r="AQ840" s="64"/>
      <c r="AR840" s="21"/>
      <c r="AS840" s="21"/>
      <c r="AT840" s="21"/>
      <c r="AU840" s="22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</row>
    <row r="841" spans="38:59">
      <c r="AL841" s="21"/>
      <c r="AM841" s="24"/>
      <c r="AN841" s="21"/>
      <c r="AO841" s="21"/>
      <c r="AP841" s="64"/>
      <c r="AQ841" s="64"/>
      <c r="AR841" s="21"/>
      <c r="AS841" s="21"/>
      <c r="AT841" s="21"/>
      <c r="AU841" s="22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</row>
    <row r="842" spans="38:59">
      <c r="AL842" s="21"/>
      <c r="AM842" s="24"/>
      <c r="AN842" s="21"/>
      <c r="AO842" s="21"/>
      <c r="AP842" s="64"/>
      <c r="AQ842" s="64"/>
      <c r="AR842" s="21"/>
      <c r="AS842" s="21"/>
      <c r="AT842" s="21"/>
      <c r="AU842" s="22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</row>
    <row r="843" spans="38:59">
      <c r="AL843" s="21"/>
      <c r="AM843" s="24"/>
      <c r="AN843" s="21"/>
      <c r="AO843" s="21"/>
      <c r="AP843" s="64"/>
      <c r="AQ843" s="64"/>
      <c r="AR843" s="21"/>
      <c r="AS843" s="21"/>
      <c r="AT843" s="21"/>
      <c r="AU843" s="22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</row>
    <row r="844" spans="38:59">
      <c r="AL844" s="21"/>
      <c r="AM844" s="24"/>
      <c r="AN844" s="21"/>
      <c r="AO844" s="21"/>
      <c r="AP844" s="64"/>
      <c r="AQ844" s="64"/>
      <c r="AR844" s="21"/>
      <c r="AS844" s="21"/>
      <c r="AT844" s="21"/>
      <c r="AU844" s="22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</row>
    <row r="845" spans="38:59">
      <c r="AL845" s="21"/>
      <c r="AM845" s="24"/>
      <c r="AN845" s="21"/>
      <c r="AO845" s="21"/>
      <c r="AP845" s="64"/>
      <c r="AQ845" s="64"/>
      <c r="AR845" s="21"/>
      <c r="AS845" s="21"/>
      <c r="AT845" s="21"/>
      <c r="AU845" s="22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</row>
    <row r="846" spans="38:59">
      <c r="AL846" s="21"/>
      <c r="AM846" s="24"/>
      <c r="AN846" s="21"/>
      <c r="AO846" s="21"/>
      <c r="AP846" s="64"/>
      <c r="AQ846" s="64"/>
      <c r="AR846" s="21"/>
      <c r="AS846" s="21"/>
      <c r="AT846" s="21"/>
      <c r="AU846" s="22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</row>
    <row r="847" spans="38:59">
      <c r="AL847" s="21"/>
      <c r="AM847" s="24"/>
      <c r="AN847" s="21"/>
      <c r="AO847" s="21"/>
      <c r="AP847" s="64"/>
      <c r="AQ847" s="64"/>
      <c r="AR847" s="21"/>
      <c r="AS847" s="21"/>
      <c r="AT847" s="21"/>
      <c r="AU847" s="22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</row>
    <row r="848" spans="38:59">
      <c r="AL848" s="21"/>
      <c r="AM848" s="24"/>
      <c r="AN848" s="21"/>
      <c r="AO848" s="21"/>
      <c r="AP848" s="64"/>
      <c r="AQ848" s="64"/>
      <c r="AR848" s="21"/>
      <c r="AS848" s="21"/>
      <c r="AT848" s="21"/>
      <c r="AU848" s="22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</row>
    <row r="849" spans="38:59">
      <c r="AL849" s="21"/>
      <c r="AM849" s="24"/>
      <c r="AN849" s="21"/>
      <c r="AO849" s="21"/>
      <c r="AP849" s="64"/>
      <c r="AQ849" s="64"/>
      <c r="AR849" s="21"/>
      <c r="AS849" s="21"/>
      <c r="AT849" s="21"/>
      <c r="AU849" s="22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</row>
    <row r="850" spans="38:59">
      <c r="AL850" s="21"/>
      <c r="AM850" s="24"/>
      <c r="AN850" s="21"/>
      <c r="AO850" s="21"/>
      <c r="AP850" s="64"/>
      <c r="AQ850" s="64"/>
      <c r="AR850" s="21"/>
      <c r="AS850" s="21"/>
      <c r="AT850" s="21"/>
      <c r="AU850" s="22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</row>
    <row r="851" spans="38:59">
      <c r="AL851" s="21"/>
      <c r="AM851" s="24"/>
      <c r="AN851" s="21"/>
      <c r="AO851" s="21"/>
      <c r="AP851" s="64"/>
      <c r="AQ851" s="64"/>
      <c r="AR851" s="21"/>
      <c r="AS851" s="21"/>
      <c r="AT851" s="21"/>
      <c r="AU851" s="22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</row>
    <row r="852" spans="38:59">
      <c r="AL852" s="21"/>
      <c r="AM852" s="24"/>
      <c r="AN852" s="21"/>
      <c r="AO852" s="21"/>
      <c r="AP852" s="64"/>
      <c r="AQ852" s="64"/>
      <c r="AR852" s="21"/>
      <c r="AS852" s="21"/>
      <c r="AT852" s="21"/>
      <c r="AU852" s="22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</row>
    <row r="853" spans="38:59">
      <c r="AL853" s="21"/>
      <c r="AM853" s="24"/>
      <c r="AN853" s="21"/>
      <c r="AO853" s="21"/>
      <c r="AP853" s="64"/>
      <c r="AQ853" s="64"/>
      <c r="AR853" s="21"/>
      <c r="AS853" s="21"/>
      <c r="AT853" s="21"/>
      <c r="AU853" s="22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</row>
    <row r="854" spans="38:59">
      <c r="AL854" s="21"/>
      <c r="AM854" s="24"/>
      <c r="AN854" s="21"/>
      <c r="AO854" s="21"/>
      <c r="AP854" s="64"/>
      <c r="AQ854" s="64"/>
      <c r="AR854" s="21"/>
      <c r="AS854" s="21"/>
      <c r="AT854" s="21"/>
      <c r="AU854" s="22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</row>
    <row r="855" spans="38:59">
      <c r="AL855" s="21"/>
      <c r="AM855" s="24"/>
      <c r="AN855" s="21"/>
      <c r="AO855" s="21"/>
      <c r="AP855" s="64"/>
      <c r="AQ855" s="64"/>
      <c r="AR855" s="21"/>
      <c r="AS855" s="21"/>
      <c r="AT855" s="21"/>
      <c r="AU855" s="22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</row>
    <row r="856" spans="38:59">
      <c r="AL856" s="21"/>
      <c r="AM856" s="24"/>
      <c r="AN856" s="21"/>
      <c r="AO856" s="21"/>
      <c r="AP856" s="64"/>
      <c r="AQ856" s="64"/>
      <c r="AR856" s="21"/>
      <c r="AS856" s="21"/>
      <c r="AT856" s="21"/>
      <c r="AU856" s="22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</row>
    <row r="857" spans="38:59">
      <c r="AL857" s="21"/>
      <c r="AM857" s="24"/>
      <c r="AN857" s="21"/>
      <c r="AO857" s="21"/>
      <c r="AP857" s="64"/>
      <c r="AQ857" s="64"/>
      <c r="AR857" s="21"/>
      <c r="AS857" s="21"/>
      <c r="AT857" s="21"/>
      <c r="AU857" s="22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</row>
    <row r="858" spans="38:59">
      <c r="AL858" s="21"/>
      <c r="AM858" s="24"/>
      <c r="AN858" s="21"/>
      <c r="AO858" s="21"/>
      <c r="AP858" s="64"/>
      <c r="AQ858" s="64"/>
      <c r="AR858" s="21"/>
      <c r="AS858" s="21"/>
      <c r="AT858" s="21"/>
      <c r="AU858" s="22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</row>
    <row r="859" spans="38:59">
      <c r="AL859" s="21"/>
      <c r="AM859" s="24"/>
      <c r="AN859" s="21"/>
      <c r="AO859" s="21"/>
      <c r="AP859" s="64"/>
      <c r="AQ859" s="64"/>
      <c r="AR859" s="21"/>
      <c r="AS859" s="21"/>
      <c r="AT859" s="21"/>
      <c r="AU859" s="22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</row>
    <row r="860" spans="38:59">
      <c r="AL860" s="21"/>
      <c r="AM860" s="24"/>
      <c r="AN860" s="21"/>
      <c r="AO860" s="21"/>
      <c r="AP860" s="64"/>
      <c r="AQ860" s="64"/>
      <c r="AR860" s="21"/>
      <c r="AS860" s="21"/>
      <c r="AT860" s="21"/>
      <c r="AU860" s="22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</row>
    <row r="861" spans="38:59">
      <c r="AL861" s="21"/>
      <c r="AM861" s="24"/>
      <c r="AN861" s="21"/>
      <c r="AO861" s="21"/>
      <c r="AP861" s="64"/>
      <c r="AQ861" s="64"/>
      <c r="AR861" s="21"/>
      <c r="AS861" s="21"/>
      <c r="AT861" s="21"/>
      <c r="AU861" s="22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</row>
    <row r="862" spans="38:59">
      <c r="AL862" s="21"/>
      <c r="AM862" s="24"/>
      <c r="AN862" s="21"/>
      <c r="AO862" s="21"/>
      <c r="AP862" s="64"/>
      <c r="AQ862" s="64"/>
      <c r="AR862" s="21"/>
      <c r="AS862" s="21"/>
      <c r="AT862" s="21"/>
      <c r="AU862" s="22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</row>
    <row r="863" spans="38:59">
      <c r="AL863" s="21"/>
      <c r="AM863" s="24"/>
      <c r="AN863" s="21"/>
      <c r="AO863" s="21"/>
      <c r="AP863" s="64"/>
      <c r="AQ863" s="64"/>
      <c r="AR863" s="21"/>
      <c r="AS863" s="21"/>
      <c r="AT863" s="21"/>
      <c r="AU863" s="22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</row>
    <row r="864" spans="38:59">
      <c r="AL864" s="21"/>
      <c r="AM864" s="24"/>
      <c r="AN864" s="21"/>
      <c r="AO864" s="21"/>
      <c r="AP864" s="64"/>
      <c r="AQ864" s="64"/>
      <c r="AR864" s="21"/>
      <c r="AS864" s="21"/>
      <c r="AT864" s="21"/>
      <c r="AU864" s="22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</row>
    <row r="865" spans="38:59">
      <c r="AL865" s="21"/>
      <c r="AM865" s="24"/>
      <c r="AN865" s="21"/>
      <c r="AO865" s="21"/>
      <c r="AP865" s="64"/>
      <c r="AQ865" s="64"/>
      <c r="AR865" s="21"/>
      <c r="AS865" s="21"/>
      <c r="AT865" s="21"/>
      <c r="AU865" s="22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</row>
    <row r="866" spans="38:59">
      <c r="AL866" s="21"/>
      <c r="AM866" s="24"/>
      <c r="AN866" s="21"/>
      <c r="AO866" s="21"/>
      <c r="AP866" s="64"/>
      <c r="AQ866" s="64"/>
      <c r="AR866" s="21"/>
      <c r="AS866" s="21"/>
      <c r="AT866" s="21"/>
      <c r="AU866" s="22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</row>
    <row r="867" spans="38:59">
      <c r="AL867" s="21"/>
      <c r="AM867" s="24"/>
      <c r="AN867" s="21"/>
      <c r="AO867" s="21"/>
      <c r="AP867" s="64"/>
      <c r="AQ867" s="64"/>
      <c r="AR867" s="21"/>
      <c r="AS867" s="21"/>
      <c r="AT867" s="21"/>
      <c r="AU867" s="22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</row>
    <row r="868" spans="38:59">
      <c r="AL868" s="21"/>
      <c r="AM868" s="24"/>
      <c r="AN868" s="21"/>
      <c r="AO868" s="21"/>
      <c r="AP868" s="64"/>
      <c r="AQ868" s="64"/>
      <c r="AR868" s="21"/>
      <c r="AS868" s="21"/>
      <c r="AT868" s="21"/>
      <c r="AU868" s="22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</row>
    <row r="869" spans="38:59">
      <c r="AL869" s="21"/>
      <c r="AM869" s="24"/>
      <c r="AN869" s="21"/>
      <c r="AO869" s="21"/>
      <c r="AP869" s="64"/>
      <c r="AQ869" s="64"/>
      <c r="AR869" s="21"/>
      <c r="AS869" s="21"/>
      <c r="AT869" s="21"/>
      <c r="AU869" s="22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</row>
    <row r="870" spans="38:59">
      <c r="AL870" s="21"/>
      <c r="AM870" s="24"/>
      <c r="AN870" s="21"/>
      <c r="AO870" s="21"/>
      <c r="AP870" s="64"/>
      <c r="AQ870" s="64"/>
      <c r="AR870" s="21"/>
      <c r="AS870" s="21"/>
      <c r="AT870" s="21"/>
      <c r="AU870" s="22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</row>
    <row r="871" spans="38:59">
      <c r="AL871" s="21"/>
      <c r="AM871" s="24"/>
      <c r="AN871" s="21"/>
      <c r="AO871" s="21"/>
      <c r="AP871" s="64"/>
      <c r="AQ871" s="64"/>
      <c r="AR871" s="21"/>
      <c r="AS871" s="21"/>
      <c r="AT871" s="21"/>
      <c r="AU871" s="22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</row>
    <row r="872" spans="38:59">
      <c r="AL872" s="21"/>
      <c r="AM872" s="24"/>
      <c r="AN872" s="21"/>
      <c r="AO872" s="21"/>
      <c r="AP872" s="64"/>
      <c r="AQ872" s="64"/>
      <c r="AR872" s="21"/>
      <c r="AS872" s="21"/>
      <c r="AT872" s="21"/>
      <c r="AU872" s="22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</row>
    <row r="873" spans="38:59">
      <c r="AL873" s="21"/>
      <c r="AM873" s="24"/>
      <c r="AN873" s="21"/>
      <c r="AO873" s="21"/>
      <c r="AP873" s="64"/>
      <c r="AQ873" s="64"/>
      <c r="AR873" s="21"/>
      <c r="AS873" s="21"/>
      <c r="AT873" s="21"/>
      <c r="AU873" s="22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</row>
    <row r="874" spans="38:59">
      <c r="AL874" s="21"/>
      <c r="AM874" s="24"/>
      <c r="AN874" s="21"/>
      <c r="AO874" s="21"/>
      <c r="AP874" s="64"/>
      <c r="AQ874" s="64"/>
      <c r="AR874" s="21"/>
      <c r="AS874" s="21"/>
      <c r="AT874" s="21"/>
      <c r="AU874" s="22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</row>
    <row r="875" spans="38:59">
      <c r="AL875" s="21"/>
      <c r="AM875" s="24"/>
      <c r="AN875" s="21"/>
      <c r="AO875" s="21"/>
      <c r="AP875" s="64"/>
      <c r="AQ875" s="64"/>
      <c r="AR875" s="21"/>
      <c r="AS875" s="21"/>
      <c r="AT875" s="21"/>
      <c r="AU875" s="22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</row>
    <row r="876" spans="38:59">
      <c r="AL876" s="21"/>
      <c r="AM876" s="24"/>
      <c r="AN876" s="21"/>
      <c r="AO876" s="21"/>
      <c r="AP876" s="64"/>
      <c r="AQ876" s="64"/>
      <c r="AR876" s="21"/>
      <c r="AS876" s="21"/>
      <c r="AT876" s="21"/>
      <c r="AU876" s="22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</row>
    <row r="877" spans="38:59">
      <c r="AL877" s="21"/>
      <c r="AM877" s="24"/>
      <c r="AN877" s="21"/>
      <c r="AO877" s="21"/>
      <c r="AP877" s="64"/>
      <c r="AQ877" s="64"/>
      <c r="AR877" s="21"/>
      <c r="AS877" s="21"/>
      <c r="AT877" s="21"/>
      <c r="AU877" s="22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</row>
    <row r="878" spans="38:59">
      <c r="AL878" s="21"/>
      <c r="AM878" s="24"/>
      <c r="AN878" s="21"/>
      <c r="AO878" s="21"/>
      <c r="AP878" s="64"/>
      <c r="AQ878" s="64"/>
      <c r="AR878" s="21"/>
      <c r="AS878" s="21"/>
      <c r="AT878" s="21"/>
      <c r="AU878" s="22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</row>
    <row r="879" spans="38:59">
      <c r="AL879" s="21"/>
      <c r="AM879" s="24"/>
      <c r="AN879" s="21"/>
      <c r="AO879" s="21"/>
      <c r="AP879" s="64"/>
      <c r="AQ879" s="64"/>
      <c r="AR879" s="21"/>
      <c r="AS879" s="21"/>
      <c r="AT879" s="21"/>
      <c r="AU879" s="22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</row>
    <row r="880" spans="38:59">
      <c r="AL880" s="21"/>
      <c r="AM880" s="24"/>
      <c r="AN880" s="21"/>
      <c r="AO880" s="21"/>
      <c r="AP880" s="64"/>
      <c r="AQ880" s="64"/>
      <c r="AR880" s="21"/>
      <c r="AS880" s="21"/>
      <c r="AT880" s="21"/>
      <c r="AU880" s="22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</row>
    <row r="881" spans="38:59">
      <c r="AL881" s="21"/>
      <c r="AM881" s="24"/>
      <c r="AN881" s="21"/>
      <c r="AO881" s="21"/>
      <c r="AP881" s="64"/>
      <c r="AQ881" s="64"/>
      <c r="AR881" s="21"/>
      <c r="AS881" s="21"/>
      <c r="AT881" s="21"/>
      <c r="AU881" s="22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</row>
    <row r="882" spans="38:59">
      <c r="AL882" s="21"/>
      <c r="AM882" s="24"/>
      <c r="AN882" s="21"/>
      <c r="AO882" s="21"/>
      <c r="AP882" s="64"/>
      <c r="AQ882" s="64"/>
      <c r="AR882" s="21"/>
      <c r="AS882" s="21"/>
      <c r="AT882" s="21"/>
      <c r="AU882" s="22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</row>
    <row r="883" spans="38:59">
      <c r="AL883" s="21"/>
      <c r="AM883" s="24"/>
      <c r="AN883" s="21"/>
      <c r="AO883" s="21"/>
      <c r="AP883" s="64"/>
      <c r="AQ883" s="64"/>
      <c r="AR883" s="21"/>
      <c r="AS883" s="21"/>
      <c r="AT883" s="21"/>
      <c r="AU883" s="22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</row>
    <row r="884" spans="38:59">
      <c r="AL884" s="21"/>
      <c r="AM884" s="24"/>
      <c r="AN884" s="21"/>
      <c r="AO884" s="21"/>
      <c r="AP884" s="64"/>
      <c r="AQ884" s="64"/>
      <c r="AR884" s="21"/>
      <c r="AS884" s="21"/>
      <c r="AT884" s="21"/>
      <c r="AU884" s="22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</row>
    <row r="885" spans="38:59">
      <c r="AL885" s="21"/>
      <c r="AM885" s="24"/>
      <c r="AN885" s="21"/>
      <c r="AO885" s="21"/>
      <c r="AP885" s="64"/>
      <c r="AQ885" s="64"/>
      <c r="AR885" s="21"/>
      <c r="AS885" s="21"/>
      <c r="AT885" s="21"/>
      <c r="AU885" s="22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</row>
    <row r="886" spans="38:59">
      <c r="AL886" s="21"/>
      <c r="AM886" s="24"/>
      <c r="AN886" s="21"/>
      <c r="AO886" s="21"/>
      <c r="AP886" s="64"/>
      <c r="AQ886" s="64"/>
      <c r="AR886" s="21"/>
      <c r="AS886" s="21"/>
      <c r="AT886" s="21"/>
      <c r="AU886" s="22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</row>
    <row r="887" spans="38:59">
      <c r="AL887" s="21"/>
      <c r="AM887" s="24"/>
      <c r="AN887" s="21"/>
      <c r="AO887" s="21"/>
      <c r="AP887" s="64"/>
      <c r="AQ887" s="64"/>
      <c r="AR887" s="21"/>
      <c r="AS887" s="21"/>
      <c r="AT887" s="21"/>
      <c r="AU887" s="22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</row>
    <row r="888" spans="38:59">
      <c r="AL888" s="21"/>
      <c r="AM888" s="24"/>
      <c r="AN888" s="21"/>
      <c r="AO888" s="21"/>
      <c r="AP888" s="64"/>
      <c r="AQ888" s="64"/>
      <c r="AR888" s="21"/>
      <c r="AS888" s="21"/>
      <c r="AT888" s="21"/>
      <c r="AU888" s="22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</row>
    <row r="889" spans="38:59">
      <c r="AL889" s="21"/>
      <c r="AM889" s="24"/>
      <c r="AN889" s="21"/>
      <c r="AO889" s="21"/>
      <c r="AP889" s="64"/>
      <c r="AQ889" s="64"/>
      <c r="AR889" s="21"/>
      <c r="AS889" s="21"/>
      <c r="AT889" s="21"/>
      <c r="AU889" s="22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</row>
    <row r="890" spans="38:59">
      <c r="AL890" s="21"/>
      <c r="AM890" s="24"/>
      <c r="AN890" s="21"/>
      <c r="AO890" s="21"/>
      <c r="AP890" s="64"/>
      <c r="AQ890" s="64"/>
      <c r="AR890" s="21"/>
      <c r="AS890" s="21"/>
      <c r="AT890" s="21"/>
      <c r="AU890" s="22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</row>
    <row r="891" spans="38:59">
      <c r="AL891" s="21"/>
      <c r="AM891" s="24"/>
      <c r="AN891" s="21"/>
      <c r="AO891" s="21"/>
      <c r="AP891" s="64"/>
      <c r="AQ891" s="64"/>
      <c r="AR891" s="21"/>
      <c r="AS891" s="21"/>
      <c r="AT891" s="21"/>
      <c r="AU891" s="22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</row>
    <row r="892" spans="38:59">
      <c r="AL892" s="21"/>
      <c r="AM892" s="24"/>
      <c r="AN892" s="21"/>
      <c r="AO892" s="21"/>
      <c r="AP892" s="64"/>
      <c r="AQ892" s="64"/>
      <c r="AR892" s="21"/>
      <c r="AS892" s="21"/>
      <c r="AT892" s="21"/>
      <c r="AU892" s="22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</row>
    <row r="893" spans="38:59">
      <c r="AL893" s="21"/>
      <c r="AM893" s="24"/>
      <c r="AN893" s="21"/>
      <c r="AO893" s="21"/>
      <c r="AP893" s="64"/>
      <c r="AQ893" s="64"/>
      <c r="AR893" s="21"/>
      <c r="AS893" s="21"/>
      <c r="AT893" s="21"/>
      <c r="AU893" s="22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</row>
    <row r="894" spans="38:59">
      <c r="AL894" s="21"/>
      <c r="AM894" s="24"/>
      <c r="AN894" s="21"/>
      <c r="AO894" s="21"/>
      <c r="AP894" s="64"/>
      <c r="AQ894" s="64"/>
      <c r="AR894" s="21"/>
      <c r="AS894" s="21"/>
      <c r="AT894" s="21"/>
      <c r="AU894" s="22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</row>
    <row r="895" spans="38:59">
      <c r="AL895" s="21"/>
      <c r="AM895" s="24"/>
      <c r="AN895" s="21"/>
      <c r="AO895" s="21"/>
      <c r="AP895" s="64"/>
      <c r="AQ895" s="64"/>
      <c r="AR895" s="21"/>
      <c r="AS895" s="21"/>
      <c r="AT895" s="21"/>
      <c r="AU895" s="22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</row>
    <row r="896" spans="38:59">
      <c r="AL896" s="21"/>
      <c r="AM896" s="24"/>
      <c r="AN896" s="21"/>
      <c r="AO896" s="21"/>
      <c r="AP896" s="64"/>
      <c r="AQ896" s="64"/>
      <c r="AR896" s="21"/>
      <c r="AS896" s="21"/>
      <c r="AT896" s="21"/>
      <c r="AU896" s="22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</row>
    <row r="897" spans="38:59">
      <c r="AL897" s="21"/>
      <c r="AM897" s="24"/>
      <c r="AN897" s="21"/>
      <c r="AO897" s="21"/>
      <c r="AP897" s="64"/>
      <c r="AQ897" s="64"/>
      <c r="AR897" s="21"/>
      <c r="AS897" s="21"/>
      <c r="AT897" s="21"/>
      <c r="AU897" s="22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</row>
    <row r="898" spans="38:59">
      <c r="AL898" s="21"/>
      <c r="AM898" s="24"/>
      <c r="AN898" s="21"/>
      <c r="AO898" s="21"/>
      <c r="AP898" s="64"/>
      <c r="AQ898" s="64"/>
      <c r="AR898" s="21"/>
      <c r="AS898" s="21"/>
      <c r="AT898" s="21"/>
      <c r="AU898" s="22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</row>
    <row r="899" spans="38:59">
      <c r="AL899" s="21"/>
      <c r="AM899" s="24"/>
      <c r="AN899" s="21"/>
      <c r="AO899" s="21"/>
      <c r="AP899" s="64"/>
      <c r="AQ899" s="64"/>
      <c r="AR899" s="21"/>
      <c r="AS899" s="21"/>
      <c r="AT899" s="21"/>
      <c r="AU899" s="22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</row>
    <row r="900" spans="38:59">
      <c r="AL900" s="21"/>
      <c r="AM900" s="24"/>
      <c r="AN900" s="21"/>
      <c r="AO900" s="21"/>
      <c r="AP900" s="64"/>
      <c r="AQ900" s="64"/>
      <c r="AR900" s="21"/>
      <c r="AS900" s="21"/>
      <c r="AT900" s="21"/>
      <c r="AU900" s="22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</row>
    <row r="901" spans="38:59">
      <c r="AL901" s="21"/>
      <c r="AM901" s="24"/>
      <c r="AN901" s="21"/>
      <c r="AO901" s="21"/>
      <c r="AP901" s="64"/>
      <c r="AQ901" s="64"/>
      <c r="AR901" s="21"/>
      <c r="AS901" s="21"/>
      <c r="AT901" s="21"/>
      <c r="AU901" s="22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</row>
    <row r="902" spans="38:59">
      <c r="AL902" s="21"/>
      <c r="AM902" s="24"/>
      <c r="AN902" s="21"/>
      <c r="AO902" s="21"/>
      <c r="AP902" s="64"/>
      <c r="AQ902" s="64"/>
      <c r="AR902" s="21"/>
      <c r="AS902" s="21"/>
      <c r="AT902" s="21"/>
      <c r="AU902" s="22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</row>
    <row r="903" spans="38:59">
      <c r="AL903" s="21"/>
      <c r="AM903" s="24"/>
      <c r="AN903" s="21"/>
      <c r="AO903" s="21"/>
      <c r="AP903" s="64"/>
      <c r="AQ903" s="64"/>
      <c r="AR903" s="21"/>
      <c r="AS903" s="21"/>
      <c r="AT903" s="21"/>
      <c r="AU903" s="22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</row>
    <row r="904" spans="38:59">
      <c r="AL904" s="21"/>
      <c r="AM904" s="24"/>
      <c r="AN904" s="21"/>
      <c r="AO904" s="21"/>
      <c r="AP904" s="64"/>
      <c r="AQ904" s="64"/>
      <c r="AR904" s="21"/>
      <c r="AS904" s="21"/>
      <c r="AT904" s="21"/>
      <c r="AU904" s="22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</row>
    <row r="905" spans="38:59">
      <c r="AL905" s="21"/>
      <c r="AM905" s="24"/>
      <c r="AN905" s="21"/>
      <c r="AO905" s="21"/>
      <c r="AP905" s="64"/>
      <c r="AQ905" s="64"/>
      <c r="AR905" s="21"/>
      <c r="AS905" s="21"/>
      <c r="AT905" s="21"/>
      <c r="AU905" s="22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</row>
    <row r="906" spans="38:59">
      <c r="AL906" s="21"/>
      <c r="AM906" s="24"/>
      <c r="AN906" s="21"/>
      <c r="AO906" s="21"/>
      <c r="AP906" s="64"/>
      <c r="AQ906" s="64"/>
      <c r="AR906" s="21"/>
      <c r="AS906" s="21"/>
      <c r="AT906" s="21"/>
      <c r="AU906" s="22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</row>
    <row r="907" spans="38:59">
      <c r="AL907" s="21"/>
      <c r="AM907" s="24"/>
      <c r="AN907" s="21"/>
      <c r="AO907" s="21"/>
      <c r="AP907" s="64"/>
      <c r="AQ907" s="64"/>
      <c r="AR907" s="21"/>
      <c r="AS907" s="21"/>
      <c r="AT907" s="21"/>
      <c r="AU907" s="22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</row>
    <row r="908" spans="38:59">
      <c r="AL908" s="21"/>
      <c r="AM908" s="24"/>
      <c r="AN908" s="21"/>
      <c r="AO908" s="21"/>
      <c r="AP908" s="64"/>
      <c r="AQ908" s="64"/>
      <c r="AR908" s="21"/>
      <c r="AS908" s="21"/>
      <c r="AT908" s="21"/>
      <c r="AU908" s="22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</row>
    <row r="909" spans="38:59">
      <c r="AL909" s="21"/>
      <c r="AM909" s="24"/>
      <c r="AN909" s="21"/>
      <c r="AO909" s="21"/>
      <c r="AP909" s="64"/>
      <c r="AQ909" s="64"/>
      <c r="AR909" s="21"/>
      <c r="AS909" s="21"/>
      <c r="AT909" s="21"/>
      <c r="AU909" s="22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</row>
    <row r="910" spans="38:59">
      <c r="AL910" s="21"/>
      <c r="AM910" s="24"/>
      <c r="AN910" s="21"/>
      <c r="AO910" s="21"/>
      <c r="AP910" s="64"/>
      <c r="AQ910" s="64"/>
      <c r="AR910" s="21"/>
      <c r="AS910" s="21"/>
      <c r="AT910" s="21"/>
      <c r="AU910" s="22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</row>
    <row r="911" spans="38:59">
      <c r="AL911" s="21"/>
      <c r="AM911" s="24"/>
      <c r="AN911" s="21"/>
      <c r="AO911" s="21"/>
      <c r="AP911" s="64"/>
      <c r="AQ911" s="64"/>
      <c r="AR911" s="21"/>
      <c r="AS911" s="21"/>
      <c r="AT911" s="21"/>
      <c r="AU911" s="22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</row>
    <row r="912" spans="38:59">
      <c r="AL912" s="21"/>
      <c r="AM912" s="24"/>
      <c r="AN912" s="21"/>
      <c r="AO912" s="21"/>
      <c r="AP912" s="64"/>
      <c r="AQ912" s="64"/>
      <c r="AR912" s="21"/>
      <c r="AS912" s="21"/>
      <c r="AT912" s="21"/>
      <c r="AU912" s="22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</row>
    <row r="913" spans="38:59">
      <c r="AL913" s="21"/>
      <c r="AM913" s="24"/>
      <c r="AN913" s="21"/>
      <c r="AO913" s="21"/>
      <c r="AP913" s="64"/>
      <c r="AQ913" s="64"/>
      <c r="AR913" s="21"/>
      <c r="AS913" s="21"/>
      <c r="AT913" s="21"/>
      <c r="AU913" s="22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</row>
    <row r="914" spans="38:59">
      <c r="AL914" s="21"/>
      <c r="AM914" s="24"/>
      <c r="AN914" s="21"/>
      <c r="AO914" s="21"/>
      <c r="AP914" s="64"/>
      <c r="AQ914" s="64"/>
      <c r="AR914" s="21"/>
      <c r="AS914" s="21"/>
      <c r="AT914" s="21"/>
      <c r="AU914" s="22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</row>
    <row r="915" spans="38:59">
      <c r="AL915" s="21"/>
      <c r="AM915" s="24"/>
      <c r="AN915" s="21"/>
      <c r="AO915" s="21"/>
      <c r="AP915" s="64"/>
      <c r="AQ915" s="64"/>
      <c r="AR915" s="21"/>
      <c r="AS915" s="21"/>
      <c r="AT915" s="21"/>
      <c r="AU915" s="22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</row>
    <row r="916" spans="38:59">
      <c r="AL916" s="21"/>
      <c r="AM916" s="24"/>
      <c r="AN916" s="21"/>
      <c r="AO916" s="21"/>
      <c r="AP916" s="64"/>
      <c r="AQ916" s="64"/>
      <c r="AR916" s="21"/>
      <c r="AS916" s="21"/>
      <c r="AT916" s="21"/>
      <c r="AU916" s="22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</row>
    <row r="917" spans="38:59">
      <c r="AL917" s="21"/>
      <c r="AM917" s="24"/>
      <c r="AN917" s="21"/>
      <c r="AO917" s="21"/>
      <c r="AP917" s="64"/>
      <c r="AQ917" s="64"/>
      <c r="AR917" s="21"/>
      <c r="AS917" s="21"/>
      <c r="AT917" s="21"/>
      <c r="AU917" s="22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</row>
    <row r="918" spans="38:59">
      <c r="AL918" s="21"/>
      <c r="AM918" s="24"/>
      <c r="AN918" s="21"/>
      <c r="AO918" s="21"/>
      <c r="AP918" s="64"/>
      <c r="AQ918" s="64"/>
      <c r="AR918" s="21"/>
      <c r="AS918" s="21"/>
      <c r="AT918" s="21"/>
      <c r="AU918" s="22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</row>
    <row r="919" spans="38:59">
      <c r="AL919" s="21"/>
      <c r="AM919" s="24"/>
      <c r="AN919" s="21"/>
      <c r="AO919" s="21"/>
      <c r="AP919" s="64"/>
      <c r="AQ919" s="64"/>
      <c r="AR919" s="21"/>
      <c r="AS919" s="21"/>
      <c r="AT919" s="21"/>
      <c r="AU919" s="22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</row>
    <row r="920" spans="38:59">
      <c r="AL920" s="21"/>
      <c r="AM920" s="24"/>
      <c r="AN920" s="21"/>
      <c r="AO920" s="21"/>
      <c r="AP920" s="64"/>
      <c r="AQ920" s="64"/>
      <c r="AR920" s="21"/>
      <c r="AS920" s="21"/>
      <c r="AT920" s="21"/>
      <c r="AU920" s="22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</row>
    <row r="921" spans="38:59">
      <c r="AL921" s="21"/>
      <c r="AM921" s="24"/>
      <c r="AN921" s="21"/>
      <c r="AO921" s="21"/>
      <c r="AP921" s="64"/>
      <c r="AQ921" s="64"/>
      <c r="AR921" s="21"/>
      <c r="AS921" s="21"/>
      <c r="AT921" s="21"/>
      <c r="AU921" s="22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</row>
    <row r="922" spans="38:59">
      <c r="AL922" s="21"/>
      <c r="AM922" s="24"/>
      <c r="AN922" s="21"/>
      <c r="AO922" s="21"/>
      <c r="AP922" s="64"/>
      <c r="AQ922" s="64"/>
      <c r="AR922" s="21"/>
      <c r="AS922" s="21"/>
      <c r="AT922" s="21"/>
      <c r="AU922" s="22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</row>
    <row r="923" spans="38:59">
      <c r="AL923" s="21"/>
      <c r="AM923" s="24"/>
      <c r="AN923" s="21"/>
      <c r="AO923" s="21"/>
      <c r="AP923" s="64"/>
      <c r="AQ923" s="64"/>
      <c r="AR923" s="21"/>
      <c r="AS923" s="21"/>
      <c r="AT923" s="21"/>
      <c r="AU923" s="22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</row>
    <row r="924" spans="38:59">
      <c r="AL924" s="21"/>
      <c r="AM924" s="24"/>
      <c r="AN924" s="21"/>
      <c r="AO924" s="21"/>
      <c r="AP924" s="64"/>
      <c r="AQ924" s="64"/>
      <c r="AR924" s="21"/>
      <c r="AS924" s="21"/>
      <c r="AT924" s="21"/>
      <c r="AU924" s="22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</row>
    <row r="925" spans="38:59">
      <c r="AL925" s="21"/>
      <c r="AM925" s="24"/>
      <c r="AN925" s="21"/>
      <c r="AO925" s="21"/>
      <c r="AP925" s="64"/>
      <c r="AQ925" s="64"/>
      <c r="AR925" s="21"/>
      <c r="AS925" s="21"/>
      <c r="AT925" s="21"/>
      <c r="AU925" s="22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</row>
    <row r="926" spans="38:59">
      <c r="AL926" s="21"/>
      <c r="AM926" s="24"/>
      <c r="AN926" s="21"/>
      <c r="AO926" s="21"/>
      <c r="AP926" s="64"/>
      <c r="AQ926" s="64"/>
      <c r="AR926" s="21"/>
      <c r="AS926" s="21"/>
      <c r="AT926" s="21"/>
      <c r="AU926" s="22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</row>
    <row r="927" spans="38:59">
      <c r="AL927" s="21"/>
      <c r="AM927" s="24"/>
      <c r="AN927" s="21"/>
      <c r="AO927" s="21"/>
      <c r="AP927" s="64"/>
      <c r="AQ927" s="64"/>
      <c r="AR927" s="21"/>
      <c r="AS927" s="21"/>
      <c r="AT927" s="21"/>
      <c r="AU927" s="22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</row>
    <row r="928" spans="38:59">
      <c r="AL928" s="21"/>
      <c r="AM928" s="24"/>
      <c r="AN928" s="21"/>
      <c r="AO928" s="21"/>
      <c r="AP928" s="64"/>
      <c r="AQ928" s="64"/>
      <c r="AR928" s="21"/>
      <c r="AS928" s="21"/>
      <c r="AT928" s="21"/>
      <c r="AU928" s="22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</row>
    <row r="929" spans="38:59">
      <c r="AL929" s="21"/>
      <c r="AM929" s="24"/>
      <c r="AN929" s="21"/>
      <c r="AO929" s="21"/>
      <c r="AP929" s="64"/>
      <c r="AQ929" s="64"/>
      <c r="AR929" s="21"/>
      <c r="AS929" s="21"/>
      <c r="AT929" s="21"/>
      <c r="AU929" s="22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</row>
    <row r="930" spans="38:59">
      <c r="AL930" s="21"/>
      <c r="AM930" s="24"/>
      <c r="AN930" s="21"/>
      <c r="AO930" s="21"/>
      <c r="AP930" s="64"/>
      <c r="AQ930" s="64"/>
      <c r="AR930" s="21"/>
      <c r="AS930" s="21"/>
      <c r="AT930" s="21"/>
      <c r="AU930" s="22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</row>
    <row r="931" spans="38:59">
      <c r="AL931" s="21"/>
      <c r="AM931" s="24"/>
      <c r="AN931" s="21"/>
      <c r="AO931" s="21"/>
      <c r="AP931" s="64"/>
      <c r="AQ931" s="64"/>
      <c r="AR931" s="21"/>
      <c r="AS931" s="21"/>
      <c r="AT931" s="21"/>
      <c r="AU931" s="22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</row>
    <row r="932" spans="38:59">
      <c r="AL932" s="21"/>
      <c r="AM932" s="24"/>
      <c r="AN932" s="21"/>
      <c r="AO932" s="21"/>
      <c r="AP932" s="64"/>
      <c r="AQ932" s="64"/>
      <c r="AR932" s="21"/>
      <c r="AS932" s="21"/>
      <c r="AT932" s="21"/>
      <c r="AU932" s="22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</row>
    <row r="933" spans="38:59">
      <c r="AL933" s="21"/>
      <c r="AM933" s="24"/>
      <c r="AN933" s="21"/>
      <c r="AO933" s="21"/>
      <c r="AP933" s="64"/>
      <c r="AQ933" s="64"/>
      <c r="AR933" s="21"/>
      <c r="AS933" s="21"/>
      <c r="AT933" s="21"/>
      <c r="AU933" s="22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</row>
    <row r="934" spans="38:59">
      <c r="AL934" s="21"/>
      <c r="AM934" s="24"/>
      <c r="AN934" s="21"/>
      <c r="AO934" s="21"/>
      <c r="AP934" s="64"/>
      <c r="AQ934" s="64"/>
      <c r="AR934" s="21"/>
      <c r="AS934" s="21"/>
      <c r="AT934" s="21"/>
      <c r="AU934" s="22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</row>
    <row r="935" spans="38:59">
      <c r="AL935" s="21"/>
      <c r="AM935" s="24"/>
      <c r="AN935" s="21"/>
      <c r="AO935" s="21"/>
      <c r="AP935" s="64"/>
      <c r="AQ935" s="64"/>
      <c r="AR935" s="21"/>
      <c r="AS935" s="21"/>
      <c r="AT935" s="21"/>
      <c r="AU935" s="22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</row>
    <row r="936" spans="38:59">
      <c r="AL936" s="21"/>
      <c r="AM936" s="24"/>
      <c r="AN936" s="21"/>
      <c r="AO936" s="21"/>
      <c r="AP936" s="64"/>
      <c r="AQ936" s="64"/>
      <c r="AR936" s="21"/>
      <c r="AS936" s="21"/>
      <c r="AT936" s="21"/>
      <c r="AU936" s="22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</row>
    <row r="937" spans="38:59">
      <c r="AL937" s="21"/>
      <c r="AM937" s="24"/>
      <c r="AN937" s="21"/>
      <c r="AO937" s="21"/>
      <c r="AP937" s="64"/>
      <c r="AQ937" s="64"/>
      <c r="AR937" s="21"/>
      <c r="AS937" s="21"/>
      <c r="AT937" s="21"/>
      <c r="AU937" s="22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</row>
    <row r="938" spans="38:59">
      <c r="AL938" s="21"/>
      <c r="AM938" s="24"/>
      <c r="AN938" s="21"/>
      <c r="AO938" s="21"/>
      <c r="AP938" s="64"/>
      <c r="AQ938" s="64"/>
      <c r="AR938" s="21"/>
      <c r="AS938" s="21"/>
      <c r="AT938" s="21"/>
      <c r="AU938" s="22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</row>
    <row r="939" spans="38:59">
      <c r="AL939" s="21"/>
      <c r="AM939" s="24"/>
      <c r="AN939" s="21"/>
      <c r="AO939" s="21"/>
      <c r="AP939" s="64"/>
      <c r="AQ939" s="64"/>
      <c r="AR939" s="21"/>
      <c r="AS939" s="21"/>
      <c r="AT939" s="21"/>
      <c r="AU939" s="22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</row>
    <row r="940" spans="38:59">
      <c r="AL940" s="21"/>
      <c r="AM940" s="24"/>
      <c r="AN940" s="21"/>
      <c r="AO940" s="21"/>
      <c r="AP940" s="64"/>
      <c r="AQ940" s="64"/>
      <c r="AR940" s="21"/>
      <c r="AS940" s="21"/>
      <c r="AT940" s="21"/>
      <c r="AU940" s="22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</row>
    <row r="941" spans="38:59">
      <c r="AL941" s="21"/>
      <c r="AM941" s="24"/>
      <c r="AN941" s="21"/>
      <c r="AO941" s="21"/>
      <c r="AP941" s="64"/>
      <c r="AQ941" s="64"/>
      <c r="AR941" s="21"/>
      <c r="AS941" s="21"/>
      <c r="AT941" s="21"/>
      <c r="AU941" s="22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</row>
    <row r="942" spans="38:59">
      <c r="AL942" s="21"/>
      <c r="AM942" s="24"/>
      <c r="AN942" s="21"/>
      <c r="AO942" s="21"/>
      <c r="AP942" s="64"/>
      <c r="AQ942" s="64"/>
      <c r="AR942" s="21"/>
      <c r="AS942" s="21"/>
      <c r="AT942" s="21"/>
      <c r="AU942" s="22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</row>
    <row r="943" spans="38:59">
      <c r="AL943" s="21"/>
      <c r="AM943" s="24"/>
      <c r="AN943" s="21"/>
      <c r="AO943" s="21"/>
      <c r="AP943" s="64"/>
      <c r="AQ943" s="64"/>
      <c r="AR943" s="21"/>
      <c r="AS943" s="21"/>
      <c r="AT943" s="21"/>
      <c r="AU943" s="22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</row>
    <row r="944" spans="38:59">
      <c r="AL944" s="21"/>
      <c r="AM944" s="24"/>
      <c r="AN944" s="21"/>
      <c r="AO944" s="21"/>
      <c r="AP944" s="64"/>
      <c r="AQ944" s="64"/>
      <c r="AR944" s="21"/>
      <c r="AS944" s="21"/>
      <c r="AT944" s="21"/>
      <c r="AU944" s="22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</row>
    <row r="945" spans="38:59">
      <c r="AL945" s="21"/>
      <c r="AM945" s="24"/>
      <c r="AN945" s="21"/>
      <c r="AO945" s="21"/>
      <c r="AP945" s="64"/>
      <c r="AQ945" s="64"/>
      <c r="AR945" s="21"/>
      <c r="AS945" s="21"/>
      <c r="AT945" s="21"/>
      <c r="AU945" s="22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</row>
    <row r="946" spans="38:59">
      <c r="AL946" s="21"/>
      <c r="AM946" s="24"/>
      <c r="AN946" s="21"/>
      <c r="AO946" s="21"/>
      <c r="AP946" s="64"/>
      <c r="AQ946" s="64"/>
      <c r="AR946" s="21"/>
      <c r="AS946" s="21"/>
      <c r="AT946" s="21"/>
      <c r="AU946" s="22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</row>
    <row r="947" spans="38:59">
      <c r="AL947" s="21"/>
      <c r="AM947" s="24"/>
      <c r="AN947" s="21"/>
      <c r="AO947" s="21"/>
      <c r="AP947" s="64"/>
      <c r="AQ947" s="64"/>
      <c r="AR947" s="21"/>
      <c r="AS947" s="21"/>
      <c r="AT947" s="21"/>
      <c r="AU947" s="22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</row>
    <row r="948" spans="38:59">
      <c r="AL948" s="21"/>
      <c r="AM948" s="24"/>
      <c r="AN948" s="21"/>
      <c r="AO948" s="21"/>
      <c r="AP948" s="64"/>
      <c r="AQ948" s="64"/>
      <c r="AR948" s="21"/>
      <c r="AS948" s="21"/>
      <c r="AT948" s="21"/>
      <c r="AU948" s="22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</row>
    <row r="949" spans="38:59">
      <c r="AL949" s="21"/>
      <c r="AM949" s="24"/>
      <c r="AN949" s="21"/>
      <c r="AO949" s="21"/>
      <c r="AP949" s="64"/>
      <c r="AQ949" s="64"/>
      <c r="AR949" s="21"/>
      <c r="AS949" s="21"/>
      <c r="AT949" s="21"/>
      <c r="AU949" s="22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</row>
    <row r="950" spans="38:59">
      <c r="AL950" s="21"/>
      <c r="AM950" s="24"/>
      <c r="AN950" s="21"/>
      <c r="AO950" s="21"/>
      <c r="AP950" s="64"/>
      <c r="AQ950" s="64"/>
      <c r="AR950" s="21"/>
      <c r="AS950" s="21"/>
      <c r="AT950" s="21"/>
      <c r="AU950" s="22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</row>
    <row r="951" spans="38:59">
      <c r="AL951" s="21"/>
      <c r="AM951" s="24"/>
      <c r="AN951" s="21"/>
      <c r="AO951" s="21"/>
      <c r="AP951" s="64"/>
      <c r="AQ951" s="64"/>
      <c r="AR951" s="21"/>
      <c r="AS951" s="21"/>
      <c r="AT951" s="21"/>
      <c r="AU951" s="22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</row>
    <row r="952" spans="38:59">
      <c r="AL952" s="21"/>
      <c r="AM952" s="24"/>
      <c r="AN952" s="21"/>
      <c r="AO952" s="21"/>
      <c r="AP952" s="64"/>
      <c r="AQ952" s="64"/>
      <c r="AR952" s="21"/>
      <c r="AS952" s="21"/>
      <c r="AT952" s="21"/>
      <c r="AU952" s="22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</row>
    <row r="953" spans="38:59">
      <c r="AL953" s="21"/>
      <c r="AM953" s="24"/>
      <c r="AN953" s="21"/>
      <c r="AO953" s="21"/>
      <c r="AP953" s="64"/>
      <c r="AQ953" s="64"/>
      <c r="AR953" s="21"/>
      <c r="AS953" s="21"/>
      <c r="AT953" s="21"/>
      <c r="AU953" s="22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</row>
    <row r="954" spans="38:59">
      <c r="AL954" s="21"/>
      <c r="AM954" s="24"/>
      <c r="AN954" s="21"/>
      <c r="AO954" s="21"/>
      <c r="AP954" s="64"/>
      <c r="AQ954" s="64"/>
      <c r="AR954" s="21"/>
      <c r="AS954" s="21"/>
      <c r="AT954" s="21"/>
      <c r="AU954" s="22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</row>
    <row r="955" spans="38:59">
      <c r="AL955" s="21"/>
      <c r="AM955" s="24"/>
      <c r="AN955" s="21"/>
      <c r="AO955" s="21"/>
      <c r="AP955" s="64"/>
      <c r="AQ955" s="64"/>
      <c r="AR955" s="21"/>
      <c r="AS955" s="21"/>
      <c r="AT955" s="21"/>
      <c r="AU955" s="22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</row>
    <row r="956" spans="38:59">
      <c r="AL956" s="21"/>
      <c r="AM956" s="24"/>
      <c r="AN956" s="21"/>
      <c r="AO956" s="21"/>
      <c r="AP956" s="64"/>
      <c r="AQ956" s="64"/>
      <c r="AR956" s="21"/>
      <c r="AS956" s="21"/>
      <c r="AT956" s="21"/>
      <c r="AU956" s="22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</row>
    <row r="957" spans="38:59">
      <c r="AL957" s="21"/>
      <c r="AM957" s="24"/>
      <c r="AN957" s="21"/>
      <c r="AO957" s="21"/>
      <c r="AP957" s="64"/>
      <c r="AQ957" s="64"/>
      <c r="AR957" s="21"/>
      <c r="AS957" s="21"/>
      <c r="AT957" s="21"/>
      <c r="AU957" s="22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</row>
    <row r="958" spans="38:59">
      <c r="AL958" s="21"/>
      <c r="AM958" s="24"/>
      <c r="AN958" s="21"/>
      <c r="AO958" s="21"/>
      <c r="AP958" s="64"/>
      <c r="AQ958" s="64"/>
      <c r="AR958" s="21"/>
      <c r="AS958" s="21"/>
      <c r="AT958" s="21"/>
      <c r="AU958" s="22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</row>
    <row r="959" spans="38:59">
      <c r="AL959" s="21"/>
      <c r="AM959" s="24"/>
      <c r="AN959" s="21"/>
      <c r="AO959" s="21"/>
      <c r="AP959" s="64"/>
      <c r="AQ959" s="64"/>
      <c r="AR959" s="21"/>
      <c r="AS959" s="21"/>
      <c r="AT959" s="21"/>
      <c r="AU959" s="22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</row>
    <row r="960" spans="38:59">
      <c r="AL960" s="21"/>
      <c r="AM960" s="24"/>
      <c r="AN960" s="21"/>
      <c r="AO960" s="21"/>
      <c r="AP960" s="64"/>
      <c r="AQ960" s="64"/>
      <c r="AR960" s="21"/>
      <c r="AS960" s="21"/>
      <c r="AT960" s="21"/>
      <c r="AU960" s="22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</row>
    <row r="961" spans="38:59">
      <c r="AL961" s="21"/>
      <c r="AM961" s="24"/>
      <c r="AN961" s="21"/>
      <c r="AO961" s="21"/>
      <c r="AP961" s="64"/>
      <c r="AQ961" s="64"/>
      <c r="AR961" s="21"/>
      <c r="AS961" s="21"/>
      <c r="AT961" s="21"/>
      <c r="AU961" s="22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</row>
    <row r="962" spans="38:59">
      <c r="AL962" s="21"/>
      <c r="AM962" s="24"/>
      <c r="AN962" s="21"/>
      <c r="AO962" s="21"/>
      <c r="AP962" s="64"/>
      <c r="AQ962" s="64"/>
      <c r="AR962" s="21"/>
      <c r="AS962" s="21"/>
      <c r="AT962" s="21"/>
      <c r="AU962" s="22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</row>
    <row r="963" spans="38:59">
      <c r="AL963" s="21"/>
      <c r="AM963" s="24"/>
      <c r="AN963" s="21"/>
      <c r="AO963" s="21"/>
      <c r="AP963" s="64"/>
      <c r="AQ963" s="64"/>
      <c r="AR963" s="21"/>
      <c r="AS963" s="21"/>
      <c r="AT963" s="21"/>
      <c r="AU963" s="22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</row>
    <row r="964" spans="38:59">
      <c r="AL964" s="21"/>
      <c r="AM964" s="24"/>
      <c r="AN964" s="21"/>
      <c r="AO964" s="21"/>
      <c r="AP964" s="64"/>
      <c r="AQ964" s="64"/>
      <c r="AR964" s="21"/>
      <c r="AS964" s="21"/>
      <c r="AT964" s="21"/>
      <c r="AU964" s="22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</row>
    <row r="965" spans="38:59">
      <c r="AL965" s="21"/>
      <c r="AM965" s="24"/>
      <c r="AN965" s="21"/>
      <c r="AO965" s="21"/>
      <c r="AP965" s="64"/>
      <c r="AQ965" s="64"/>
      <c r="AR965" s="21"/>
      <c r="AS965" s="21"/>
      <c r="AT965" s="21"/>
      <c r="AU965" s="22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</row>
    <row r="966" spans="38:59">
      <c r="AL966" s="21"/>
      <c r="AM966" s="24"/>
      <c r="AN966" s="21"/>
      <c r="AO966" s="21"/>
      <c r="AP966" s="64"/>
      <c r="AQ966" s="64"/>
      <c r="AR966" s="21"/>
      <c r="AS966" s="21"/>
      <c r="AT966" s="21"/>
      <c r="AU966" s="22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</row>
    <row r="967" spans="38:59">
      <c r="AL967" s="21"/>
      <c r="AM967" s="24"/>
      <c r="AN967" s="21"/>
      <c r="AO967" s="21"/>
      <c r="AP967" s="64"/>
      <c r="AQ967" s="64"/>
      <c r="AR967" s="21"/>
      <c r="AS967" s="21"/>
      <c r="AT967" s="21"/>
      <c r="AU967" s="22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</row>
    <row r="968" spans="38:59">
      <c r="AL968" s="21"/>
      <c r="AM968" s="24"/>
      <c r="AN968" s="21"/>
      <c r="AO968" s="21"/>
      <c r="AP968" s="64"/>
      <c r="AQ968" s="64"/>
      <c r="AR968" s="21"/>
      <c r="AS968" s="21"/>
      <c r="AT968" s="21"/>
      <c r="AU968" s="22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</row>
    <row r="969" spans="38:59">
      <c r="AL969" s="21"/>
      <c r="AM969" s="24"/>
      <c r="AN969" s="21"/>
      <c r="AO969" s="21"/>
      <c r="AP969" s="64"/>
      <c r="AQ969" s="64"/>
      <c r="AR969" s="21"/>
      <c r="AS969" s="21"/>
      <c r="AT969" s="21"/>
      <c r="AU969" s="22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</row>
    <row r="970" spans="38:59">
      <c r="AL970" s="21"/>
      <c r="AM970" s="24"/>
      <c r="AN970" s="21"/>
      <c r="AO970" s="21"/>
      <c r="AP970" s="64"/>
      <c r="AQ970" s="64"/>
      <c r="AR970" s="21"/>
      <c r="AS970" s="21"/>
      <c r="AT970" s="21"/>
      <c r="AU970" s="22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</row>
    <row r="971" spans="38:59">
      <c r="AL971" s="21"/>
      <c r="AM971" s="24"/>
      <c r="AN971" s="21"/>
      <c r="AO971" s="21"/>
      <c r="AP971" s="64"/>
      <c r="AQ971" s="64"/>
      <c r="AR971" s="21"/>
      <c r="AS971" s="21"/>
      <c r="AT971" s="21"/>
      <c r="AU971" s="22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</row>
    <row r="972" spans="38:59">
      <c r="AL972" s="21"/>
      <c r="AM972" s="24"/>
      <c r="AN972" s="21"/>
      <c r="AO972" s="21"/>
      <c r="AP972" s="64"/>
      <c r="AQ972" s="64"/>
      <c r="AR972" s="21"/>
      <c r="AS972" s="21"/>
      <c r="AT972" s="21"/>
      <c r="AU972" s="22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</row>
    <row r="973" spans="38:59">
      <c r="AL973" s="21"/>
      <c r="AM973" s="24"/>
      <c r="AN973" s="21"/>
      <c r="AO973" s="21"/>
      <c r="AP973" s="64"/>
      <c r="AQ973" s="64"/>
      <c r="AR973" s="21"/>
      <c r="AS973" s="21"/>
      <c r="AT973" s="21"/>
      <c r="AU973" s="22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</row>
    <row r="974" spans="38:59">
      <c r="AL974" s="21"/>
      <c r="AM974" s="24"/>
      <c r="AN974" s="21"/>
      <c r="AO974" s="21"/>
      <c r="AP974" s="64"/>
      <c r="AQ974" s="64"/>
      <c r="AR974" s="21"/>
      <c r="AS974" s="21"/>
      <c r="AT974" s="21"/>
      <c r="AU974" s="22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</row>
    <row r="975" spans="38:59">
      <c r="AL975" s="21"/>
      <c r="AM975" s="24"/>
      <c r="AN975" s="21"/>
      <c r="AO975" s="21"/>
      <c r="AP975" s="64"/>
      <c r="AQ975" s="64"/>
      <c r="AR975" s="21"/>
      <c r="AS975" s="21"/>
      <c r="AT975" s="21"/>
      <c r="AU975" s="22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</row>
    <row r="976" spans="38:59">
      <c r="AL976" s="21"/>
      <c r="AM976" s="24"/>
      <c r="AN976" s="21"/>
      <c r="AO976" s="21"/>
      <c r="AP976" s="64"/>
      <c r="AQ976" s="64"/>
      <c r="AR976" s="21"/>
      <c r="AS976" s="21"/>
      <c r="AT976" s="21"/>
      <c r="AU976" s="22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</row>
    <row r="977" spans="38:59">
      <c r="AL977" s="21"/>
      <c r="AM977" s="24"/>
      <c r="AN977" s="21"/>
      <c r="AO977" s="21"/>
      <c r="AP977" s="64"/>
      <c r="AQ977" s="64"/>
      <c r="AR977" s="21"/>
      <c r="AS977" s="21"/>
      <c r="AT977" s="21"/>
      <c r="AU977" s="22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</row>
    <row r="978" spans="38:59">
      <c r="AL978" s="21"/>
      <c r="AM978" s="24"/>
      <c r="AN978" s="21"/>
      <c r="AO978" s="21"/>
      <c r="AP978" s="64"/>
      <c r="AQ978" s="64"/>
      <c r="AR978" s="21"/>
      <c r="AS978" s="21"/>
      <c r="AT978" s="21"/>
      <c r="AU978" s="22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</row>
    <row r="979" spans="38:59">
      <c r="AL979" s="21"/>
      <c r="AM979" s="24"/>
      <c r="AN979" s="21"/>
      <c r="AO979" s="21"/>
      <c r="AP979" s="64"/>
      <c r="AQ979" s="64"/>
      <c r="AR979" s="21"/>
      <c r="AS979" s="21"/>
      <c r="AT979" s="21"/>
      <c r="AU979" s="22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</row>
    <row r="980" spans="38:59">
      <c r="AL980" s="21"/>
      <c r="AM980" s="24"/>
      <c r="AN980" s="21"/>
      <c r="AO980" s="21"/>
      <c r="AP980" s="64"/>
      <c r="AQ980" s="64"/>
      <c r="AR980" s="21"/>
      <c r="AS980" s="21"/>
      <c r="AT980" s="21"/>
      <c r="AU980" s="22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</row>
    <row r="981" spans="38:59">
      <c r="AL981" s="21"/>
      <c r="AM981" s="24"/>
      <c r="AN981" s="21"/>
      <c r="AO981" s="21"/>
      <c r="AP981" s="64"/>
      <c r="AQ981" s="64"/>
      <c r="AR981" s="21"/>
      <c r="AS981" s="21"/>
      <c r="AT981" s="21"/>
      <c r="AU981" s="22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</row>
    <row r="982" spans="38:59">
      <c r="AL982" s="21"/>
      <c r="AM982" s="24"/>
      <c r="AN982" s="21"/>
      <c r="AO982" s="21"/>
      <c r="AP982" s="64"/>
      <c r="AQ982" s="64"/>
      <c r="AR982" s="21"/>
      <c r="AS982" s="21"/>
      <c r="AT982" s="21"/>
      <c r="AU982" s="22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</row>
    <row r="983" spans="38:59">
      <c r="AL983" s="21"/>
      <c r="AM983" s="24"/>
      <c r="AN983" s="21"/>
      <c r="AO983" s="21"/>
      <c r="AP983" s="64"/>
      <c r="AQ983" s="64"/>
      <c r="AR983" s="21"/>
      <c r="AS983" s="21"/>
      <c r="AT983" s="21"/>
      <c r="AU983" s="22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</row>
    <row r="984" spans="38:59">
      <c r="AL984" s="21"/>
      <c r="AM984" s="24"/>
      <c r="AN984" s="21"/>
      <c r="AO984" s="21"/>
      <c r="AP984" s="64"/>
      <c r="AQ984" s="64"/>
      <c r="AR984" s="21"/>
      <c r="AS984" s="21"/>
      <c r="AT984" s="21"/>
      <c r="AU984" s="22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</row>
    <row r="985" spans="38:59">
      <c r="AL985" s="21"/>
      <c r="AM985" s="24"/>
      <c r="AN985" s="21"/>
      <c r="AO985" s="21"/>
      <c r="AP985" s="64"/>
      <c r="AQ985" s="64"/>
      <c r="AR985" s="21"/>
      <c r="AS985" s="21"/>
      <c r="AT985" s="21"/>
      <c r="AU985" s="22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</row>
    <row r="986" spans="38:59">
      <c r="AL986" s="21"/>
      <c r="AM986" s="24"/>
      <c r="AN986" s="21"/>
      <c r="AO986" s="21"/>
      <c r="AP986" s="64"/>
      <c r="AQ986" s="64"/>
      <c r="AR986" s="21"/>
      <c r="AS986" s="21"/>
      <c r="AT986" s="21"/>
      <c r="AU986" s="22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</row>
    <row r="987" spans="38:59">
      <c r="AL987" s="21"/>
      <c r="AM987" s="24"/>
      <c r="AN987" s="21"/>
      <c r="AO987" s="21"/>
      <c r="AP987" s="64"/>
      <c r="AQ987" s="64"/>
      <c r="AR987" s="21"/>
      <c r="AS987" s="21"/>
      <c r="AT987" s="21"/>
      <c r="AU987" s="22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</row>
    <row r="988" spans="38:59">
      <c r="AL988" s="21"/>
      <c r="AM988" s="24"/>
      <c r="AN988" s="21"/>
      <c r="AO988" s="21"/>
      <c r="AP988" s="64"/>
      <c r="AQ988" s="64"/>
      <c r="AR988" s="21"/>
      <c r="AS988" s="21"/>
      <c r="AT988" s="21"/>
      <c r="AU988" s="22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</row>
    <row r="989" spans="38:59">
      <c r="AL989" s="21"/>
      <c r="AM989" s="24"/>
      <c r="AN989" s="21"/>
      <c r="AO989" s="21"/>
      <c r="AP989" s="64"/>
      <c r="AQ989" s="64"/>
      <c r="AR989" s="21"/>
      <c r="AS989" s="21"/>
      <c r="AT989" s="21"/>
      <c r="AU989" s="22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</row>
    <row r="990" spans="38:59">
      <c r="AL990" s="21"/>
      <c r="AM990" s="24"/>
      <c r="AN990" s="21"/>
      <c r="AO990" s="21"/>
      <c r="AP990" s="64"/>
      <c r="AQ990" s="64"/>
      <c r="AR990" s="21"/>
      <c r="AS990" s="21"/>
      <c r="AT990" s="21"/>
      <c r="AU990" s="22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</row>
    <row r="991" spans="38:59">
      <c r="AL991" s="21"/>
      <c r="AM991" s="24"/>
      <c r="AN991" s="21"/>
      <c r="AO991" s="21"/>
      <c r="AP991" s="64"/>
      <c r="AQ991" s="64"/>
      <c r="AR991" s="21"/>
      <c r="AS991" s="21"/>
      <c r="AT991" s="21"/>
      <c r="AU991" s="22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</row>
    <row r="992" spans="38:59">
      <c r="AL992" s="21"/>
      <c r="AM992" s="24"/>
      <c r="AN992" s="21"/>
      <c r="AO992" s="21"/>
      <c r="AP992" s="64"/>
      <c r="AQ992" s="64"/>
      <c r="AR992" s="21"/>
      <c r="AS992" s="21"/>
      <c r="AT992" s="21"/>
      <c r="AU992" s="22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</row>
    <row r="993" spans="38:59">
      <c r="AL993" s="21"/>
      <c r="AM993" s="24"/>
      <c r="AN993" s="21"/>
      <c r="AO993" s="21"/>
      <c r="AP993" s="64"/>
      <c r="AQ993" s="64"/>
      <c r="AR993" s="21"/>
      <c r="AS993" s="21"/>
      <c r="AT993" s="21"/>
      <c r="AU993" s="22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</row>
    <row r="994" spans="38:59">
      <c r="AL994" s="21"/>
      <c r="AM994" s="24"/>
      <c r="AN994" s="21"/>
      <c r="AO994" s="21"/>
      <c r="AP994" s="64"/>
      <c r="AQ994" s="64"/>
      <c r="AR994" s="21"/>
      <c r="AS994" s="21"/>
      <c r="AT994" s="21"/>
      <c r="AU994" s="22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</row>
    <row r="995" spans="38:59">
      <c r="AL995" s="21"/>
      <c r="AM995" s="24"/>
      <c r="AN995" s="21"/>
      <c r="AO995" s="21"/>
      <c r="AP995" s="64"/>
      <c r="AQ995" s="64"/>
      <c r="AR995" s="21"/>
      <c r="AS995" s="21"/>
      <c r="AT995" s="21"/>
      <c r="AU995" s="22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</row>
    <row r="996" spans="38:59">
      <c r="AL996" s="21"/>
      <c r="AM996" s="24"/>
      <c r="AN996" s="21"/>
      <c r="AO996" s="21"/>
      <c r="AP996" s="64"/>
      <c r="AQ996" s="64"/>
      <c r="AR996" s="21"/>
      <c r="AS996" s="21"/>
      <c r="AT996" s="21"/>
      <c r="AU996" s="22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</row>
    <row r="997" spans="38:59">
      <c r="AL997" s="21"/>
      <c r="AM997" s="24"/>
      <c r="AN997" s="21"/>
      <c r="AO997" s="21"/>
      <c r="AP997" s="64"/>
      <c r="AQ997" s="64"/>
      <c r="AR997" s="21"/>
      <c r="AS997" s="21"/>
      <c r="AT997" s="21"/>
      <c r="AU997" s="22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</row>
    <row r="998" spans="38:59">
      <c r="AL998" s="21"/>
      <c r="AM998" s="24"/>
      <c r="AN998" s="21"/>
      <c r="AO998" s="21"/>
      <c r="AP998" s="64"/>
      <c r="AQ998" s="64"/>
      <c r="AR998" s="21"/>
      <c r="AS998" s="21"/>
      <c r="AT998" s="21"/>
      <c r="AU998" s="22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</row>
    <row r="999" spans="38:59">
      <c r="AL999" s="21"/>
      <c r="AM999" s="24"/>
      <c r="AN999" s="21"/>
      <c r="AO999" s="21"/>
      <c r="AP999" s="64"/>
      <c r="AQ999" s="64"/>
      <c r="AR999" s="21"/>
      <c r="AS999" s="21"/>
      <c r="AT999" s="21"/>
      <c r="AU999" s="22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</row>
    <row r="1000" spans="38:59">
      <c r="AL1000" s="21"/>
      <c r="AM1000" s="24"/>
      <c r="AN1000" s="21"/>
      <c r="AO1000" s="21"/>
      <c r="AP1000" s="64"/>
      <c r="AQ1000" s="64"/>
      <c r="AR1000" s="21"/>
      <c r="AS1000" s="21"/>
      <c r="AT1000" s="21"/>
      <c r="AU1000" s="22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</row>
    <row r="1001" spans="38:59">
      <c r="AL1001" s="21"/>
      <c r="AM1001" s="24"/>
      <c r="AN1001" s="21"/>
      <c r="AO1001" s="21"/>
      <c r="AP1001" s="64"/>
      <c r="AQ1001" s="64"/>
      <c r="AR1001" s="21"/>
      <c r="AS1001" s="21"/>
      <c r="AT1001" s="21"/>
      <c r="AU1001" s="22"/>
      <c r="AV1001" s="21"/>
      <c r="AW1001" s="21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</row>
    <row r="1002" spans="38:59">
      <c r="AL1002" s="21"/>
      <c r="AM1002" s="24"/>
      <c r="AN1002" s="21"/>
      <c r="AO1002" s="21"/>
      <c r="AP1002" s="64"/>
      <c r="AQ1002" s="64"/>
      <c r="AR1002" s="21"/>
      <c r="AS1002" s="21"/>
      <c r="AT1002" s="21"/>
      <c r="AU1002" s="22"/>
      <c r="AV1002" s="21"/>
      <c r="AW1002" s="21"/>
      <c r="AX1002" s="21"/>
      <c r="AY1002" s="21"/>
      <c r="AZ1002" s="21"/>
      <c r="BA1002" s="21"/>
      <c r="BB1002" s="21"/>
      <c r="BC1002" s="21"/>
      <c r="BD1002" s="21"/>
      <c r="BE1002" s="21"/>
      <c r="BF1002" s="21"/>
      <c r="BG1002" s="21"/>
    </row>
    <row r="1003" spans="38:59">
      <c r="AL1003" s="21"/>
      <c r="AM1003" s="24"/>
      <c r="AN1003" s="21"/>
      <c r="AO1003" s="21"/>
      <c r="AP1003" s="64"/>
      <c r="AQ1003" s="64"/>
      <c r="AR1003" s="21"/>
      <c r="AS1003" s="21"/>
      <c r="AT1003" s="21"/>
      <c r="AU1003" s="22"/>
      <c r="AV1003" s="21"/>
      <c r="AW1003" s="21"/>
      <c r="AX1003" s="21"/>
      <c r="AY1003" s="21"/>
      <c r="AZ1003" s="21"/>
      <c r="BA1003" s="21"/>
      <c r="BB1003" s="21"/>
      <c r="BC1003" s="21"/>
      <c r="BD1003" s="21"/>
      <c r="BE1003" s="21"/>
      <c r="BF1003" s="21"/>
      <c r="BG1003" s="21"/>
    </row>
    <row r="1004" spans="38:59">
      <c r="AL1004" s="21"/>
      <c r="AM1004" s="24"/>
      <c r="AN1004" s="21"/>
      <c r="AO1004" s="21"/>
      <c r="AP1004" s="64"/>
      <c r="AQ1004" s="64"/>
      <c r="AR1004" s="21"/>
      <c r="AS1004" s="21"/>
      <c r="AT1004" s="21"/>
      <c r="AU1004" s="22"/>
      <c r="AV1004" s="21"/>
      <c r="AW1004" s="21"/>
      <c r="AX1004" s="21"/>
      <c r="AY1004" s="21"/>
      <c r="AZ1004" s="21"/>
      <c r="BA1004" s="21"/>
      <c r="BB1004" s="21"/>
      <c r="BC1004" s="21"/>
      <c r="BD1004" s="21"/>
      <c r="BE1004" s="21"/>
      <c r="BF1004" s="21"/>
      <c r="BG1004" s="21"/>
    </row>
    <row r="1005" spans="38:59">
      <c r="AL1005" s="21"/>
      <c r="AM1005" s="24"/>
      <c r="AN1005" s="21"/>
      <c r="AO1005" s="21"/>
      <c r="AP1005" s="64"/>
      <c r="AQ1005" s="64"/>
      <c r="AR1005" s="21"/>
      <c r="AS1005" s="21"/>
      <c r="AT1005" s="21"/>
      <c r="AU1005" s="22"/>
      <c r="AV1005" s="21"/>
      <c r="AW1005" s="21"/>
      <c r="AX1005" s="21"/>
      <c r="AY1005" s="21"/>
      <c r="AZ1005" s="21"/>
      <c r="BA1005" s="21"/>
      <c r="BB1005" s="21"/>
      <c r="BC1005" s="21"/>
      <c r="BD1005" s="21"/>
      <c r="BE1005" s="21"/>
      <c r="BF1005" s="21"/>
      <c r="BG1005" s="21"/>
    </row>
    <row r="1006" spans="38:59">
      <c r="AL1006" s="21"/>
      <c r="AM1006" s="24"/>
      <c r="AN1006" s="21"/>
      <c r="AO1006" s="21"/>
      <c r="AP1006" s="64"/>
      <c r="AQ1006" s="64"/>
      <c r="AR1006" s="21"/>
      <c r="AS1006" s="21"/>
      <c r="AT1006" s="21"/>
      <c r="AU1006" s="22"/>
      <c r="AV1006" s="21"/>
      <c r="AW1006" s="21"/>
      <c r="AX1006" s="21"/>
      <c r="AY1006" s="21"/>
      <c r="AZ1006" s="21"/>
      <c r="BA1006" s="21"/>
      <c r="BB1006" s="21"/>
      <c r="BC1006" s="21"/>
      <c r="BD1006" s="21"/>
      <c r="BE1006" s="21"/>
      <c r="BF1006" s="21"/>
      <c r="BG1006" s="21"/>
    </row>
    <row r="1007" spans="38:59">
      <c r="AL1007" s="21"/>
      <c r="AM1007" s="24"/>
      <c r="AN1007" s="21"/>
      <c r="AO1007" s="21"/>
      <c r="AP1007" s="64"/>
      <c r="AQ1007" s="64"/>
      <c r="AR1007" s="21"/>
      <c r="AS1007" s="21"/>
      <c r="AT1007" s="21"/>
      <c r="AU1007" s="22"/>
      <c r="AV1007" s="21"/>
      <c r="AW1007" s="21"/>
      <c r="AX1007" s="21"/>
      <c r="AY1007" s="21"/>
      <c r="AZ1007" s="21"/>
      <c r="BA1007" s="21"/>
      <c r="BB1007" s="21"/>
      <c r="BC1007" s="21"/>
      <c r="BD1007" s="21"/>
      <c r="BE1007" s="21"/>
      <c r="BF1007" s="21"/>
      <c r="BG1007" s="21"/>
    </row>
    <row r="1008" spans="38:59">
      <c r="AL1008" s="21"/>
      <c r="AM1008" s="24"/>
      <c r="AN1008" s="21"/>
      <c r="AO1008" s="21"/>
      <c r="AP1008" s="64"/>
      <c r="AQ1008" s="64"/>
      <c r="AR1008" s="21"/>
      <c r="AS1008" s="21"/>
      <c r="AT1008" s="21"/>
      <c r="AU1008" s="22"/>
      <c r="AV1008" s="21"/>
      <c r="AW1008" s="21"/>
      <c r="AX1008" s="21"/>
      <c r="AY1008" s="21"/>
      <c r="AZ1008" s="21"/>
      <c r="BA1008" s="21"/>
      <c r="BB1008" s="21"/>
      <c r="BC1008" s="21"/>
      <c r="BD1008" s="21"/>
      <c r="BE1008" s="21"/>
      <c r="BF1008" s="21"/>
      <c r="BG1008" s="21"/>
    </row>
    <row r="1009" spans="38:59">
      <c r="AL1009" s="21"/>
      <c r="AM1009" s="24"/>
      <c r="AN1009" s="21"/>
      <c r="AO1009" s="21"/>
      <c r="AP1009" s="64"/>
      <c r="AQ1009" s="64"/>
      <c r="AR1009" s="21"/>
      <c r="AS1009" s="21"/>
      <c r="AT1009" s="21"/>
      <c r="AU1009" s="22"/>
      <c r="AV1009" s="21"/>
      <c r="AW1009" s="21"/>
      <c r="AX1009" s="21"/>
      <c r="AY1009" s="21"/>
      <c r="AZ1009" s="21"/>
      <c r="BA1009" s="21"/>
      <c r="BB1009" s="21"/>
      <c r="BC1009" s="21"/>
      <c r="BD1009" s="21"/>
      <c r="BE1009" s="21"/>
      <c r="BF1009" s="21"/>
      <c r="BG1009" s="21"/>
    </row>
    <row r="1010" spans="38:59">
      <c r="AL1010" s="21"/>
      <c r="AM1010" s="24"/>
      <c r="AN1010" s="21"/>
      <c r="AO1010" s="21"/>
      <c r="AP1010" s="64"/>
      <c r="AQ1010" s="64"/>
      <c r="AR1010" s="21"/>
      <c r="AS1010" s="21"/>
      <c r="AT1010" s="21"/>
      <c r="AU1010" s="22"/>
      <c r="AV1010" s="21"/>
      <c r="AW1010" s="21"/>
      <c r="AX1010" s="21"/>
      <c r="AY1010" s="21"/>
      <c r="AZ1010" s="21"/>
      <c r="BA1010" s="21"/>
      <c r="BB1010" s="21"/>
      <c r="BC1010" s="21"/>
      <c r="BD1010" s="21"/>
      <c r="BE1010" s="21"/>
      <c r="BF1010" s="21"/>
      <c r="BG1010" s="21"/>
    </row>
    <row r="1011" spans="38:59">
      <c r="AL1011" s="21"/>
      <c r="AM1011" s="24"/>
      <c r="AN1011" s="21"/>
      <c r="AO1011" s="21"/>
      <c r="AP1011" s="64"/>
      <c r="AQ1011" s="64"/>
      <c r="AR1011" s="21"/>
      <c r="AS1011" s="21"/>
      <c r="AT1011" s="21"/>
      <c r="AU1011" s="22"/>
      <c r="AV1011" s="21"/>
      <c r="AW1011" s="21"/>
      <c r="AX1011" s="21"/>
      <c r="AY1011" s="21"/>
      <c r="AZ1011" s="21"/>
      <c r="BA1011" s="21"/>
      <c r="BB1011" s="21"/>
      <c r="BC1011" s="21"/>
      <c r="BD1011" s="21"/>
      <c r="BE1011" s="21"/>
      <c r="BF1011" s="21"/>
      <c r="BG1011" s="21"/>
    </row>
    <row r="1012" spans="38:59">
      <c r="AL1012" s="21"/>
      <c r="AM1012" s="24"/>
      <c r="AN1012" s="21"/>
      <c r="AO1012" s="21"/>
      <c r="AP1012" s="64"/>
      <c r="AQ1012" s="64"/>
      <c r="AR1012" s="21"/>
      <c r="AS1012" s="21"/>
      <c r="AT1012" s="21"/>
      <c r="AU1012" s="22"/>
      <c r="AV1012" s="21"/>
      <c r="AW1012" s="21"/>
      <c r="AX1012" s="21"/>
      <c r="AY1012" s="21"/>
      <c r="AZ1012" s="21"/>
      <c r="BA1012" s="21"/>
      <c r="BB1012" s="21"/>
      <c r="BC1012" s="21"/>
      <c r="BD1012" s="21"/>
      <c r="BE1012" s="21"/>
      <c r="BF1012" s="21"/>
      <c r="BG1012" s="21"/>
    </row>
    <row r="1013" spans="38:59">
      <c r="AL1013" s="21"/>
      <c r="AM1013" s="24"/>
      <c r="AN1013" s="21"/>
      <c r="AO1013" s="21"/>
      <c r="AP1013" s="64"/>
      <c r="AQ1013" s="64"/>
      <c r="AR1013" s="21"/>
      <c r="AS1013" s="21"/>
      <c r="AT1013" s="21"/>
      <c r="AU1013" s="22"/>
      <c r="AV1013" s="21"/>
      <c r="AW1013" s="21"/>
      <c r="AX1013" s="21"/>
      <c r="AY1013" s="21"/>
      <c r="AZ1013" s="21"/>
      <c r="BA1013" s="21"/>
      <c r="BB1013" s="21"/>
      <c r="BC1013" s="21"/>
      <c r="BD1013" s="21"/>
      <c r="BE1013" s="21"/>
      <c r="BF1013" s="21"/>
      <c r="BG1013" s="21"/>
    </row>
    <row r="1014" spans="38:59">
      <c r="AL1014" s="21"/>
      <c r="AM1014" s="24"/>
      <c r="AN1014" s="21"/>
      <c r="AO1014" s="21"/>
      <c r="AP1014" s="64"/>
      <c r="AQ1014" s="64"/>
      <c r="AR1014" s="21"/>
      <c r="AS1014" s="21"/>
      <c r="AT1014" s="21"/>
      <c r="AU1014" s="22"/>
      <c r="AV1014" s="21"/>
      <c r="AW1014" s="21"/>
      <c r="AX1014" s="21"/>
      <c r="AY1014" s="21"/>
      <c r="AZ1014" s="21"/>
      <c r="BA1014" s="21"/>
      <c r="BB1014" s="21"/>
      <c r="BC1014" s="21"/>
      <c r="BD1014" s="21"/>
      <c r="BE1014" s="21"/>
      <c r="BF1014" s="21"/>
      <c r="BG1014" s="21"/>
    </row>
    <row r="1015" spans="38:59">
      <c r="AL1015" s="21"/>
      <c r="AM1015" s="24"/>
      <c r="AN1015" s="21"/>
      <c r="AO1015" s="21"/>
      <c r="AP1015" s="64"/>
      <c r="AQ1015" s="64"/>
      <c r="AR1015" s="21"/>
      <c r="AS1015" s="21"/>
      <c r="AT1015" s="21"/>
      <c r="AU1015" s="22"/>
      <c r="AV1015" s="21"/>
      <c r="AW1015" s="21"/>
      <c r="AX1015" s="21"/>
      <c r="AY1015" s="21"/>
      <c r="AZ1015" s="21"/>
      <c r="BA1015" s="21"/>
      <c r="BB1015" s="21"/>
      <c r="BC1015" s="21"/>
      <c r="BD1015" s="21"/>
      <c r="BE1015" s="21"/>
      <c r="BF1015" s="21"/>
      <c r="BG1015" s="21"/>
    </row>
    <row r="1016" spans="38:59">
      <c r="AL1016" s="21"/>
      <c r="AM1016" s="24"/>
      <c r="AN1016" s="21"/>
      <c r="AO1016" s="21"/>
      <c r="AP1016" s="64"/>
      <c r="AQ1016" s="64"/>
      <c r="AR1016" s="21"/>
      <c r="AS1016" s="21"/>
      <c r="AT1016" s="21"/>
      <c r="AU1016" s="22"/>
      <c r="AV1016" s="21"/>
      <c r="AW1016" s="21"/>
      <c r="AX1016" s="21"/>
      <c r="AY1016" s="21"/>
      <c r="AZ1016" s="21"/>
      <c r="BA1016" s="21"/>
      <c r="BB1016" s="21"/>
      <c r="BC1016" s="21"/>
      <c r="BD1016" s="21"/>
      <c r="BE1016" s="21"/>
      <c r="BF1016" s="21"/>
      <c r="BG1016" s="21"/>
    </row>
    <row r="1017" spans="38:59">
      <c r="AL1017" s="21"/>
      <c r="AM1017" s="24"/>
      <c r="AN1017" s="21"/>
      <c r="AO1017" s="21"/>
      <c r="AP1017" s="64"/>
      <c r="AQ1017" s="64"/>
      <c r="AR1017" s="21"/>
      <c r="AS1017" s="21"/>
      <c r="AT1017" s="21"/>
      <c r="AU1017" s="22"/>
      <c r="AV1017" s="21"/>
      <c r="AW1017" s="21"/>
      <c r="AX1017" s="21"/>
      <c r="AY1017" s="21"/>
      <c r="AZ1017" s="21"/>
      <c r="BA1017" s="21"/>
      <c r="BB1017" s="21"/>
      <c r="BC1017" s="21"/>
      <c r="BD1017" s="21"/>
      <c r="BE1017" s="21"/>
      <c r="BF1017" s="21"/>
      <c r="BG1017" s="21"/>
    </row>
    <row r="1018" spans="38:59">
      <c r="AL1018" s="21"/>
      <c r="AM1018" s="24"/>
      <c r="AN1018" s="21"/>
      <c r="AO1018" s="21"/>
      <c r="AP1018" s="64"/>
      <c r="AQ1018" s="64"/>
      <c r="AR1018" s="21"/>
      <c r="AS1018" s="21"/>
      <c r="AT1018" s="21"/>
      <c r="AU1018" s="22"/>
      <c r="AV1018" s="21"/>
      <c r="AW1018" s="21"/>
      <c r="AX1018" s="21"/>
      <c r="AY1018" s="21"/>
      <c r="AZ1018" s="21"/>
      <c r="BA1018" s="21"/>
      <c r="BB1018" s="21"/>
      <c r="BC1018" s="21"/>
      <c r="BD1018" s="21"/>
      <c r="BE1018" s="21"/>
      <c r="BF1018" s="21"/>
      <c r="BG1018" s="21"/>
    </row>
    <row r="1019" spans="38:59">
      <c r="AL1019" s="21"/>
      <c r="AM1019" s="24"/>
      <c r="AN1019" s="21"/>
      <c r="AO1019" s="21"/>
      <c r="AP1019" s="64"/>
      <c r="AQ1019" s="64"/>
      <c r="AR1019" s="21"/>
      <c r="AS1019" s="21"/>
      <c r="AT1019" s="21"/>
      <c r="AU1019" s="22"/>
      <c r="AV1019" s="21"/>
      <c r="AW1019" s="21"/>
      <c r="AX1019" s="21"/>
      <c r="AY1019" s="21"/>
      <c r="AZ1019" s="21"/>
      <c r="BA1019" s="21"/>
      <c r="BB1019" s="21"/>
      <c r="BC1019" s="21"/>
      <c r="BD1019" s="21"/>
      <c r="BE1019" s="21"/>
      <c r="BF1019" s="21"/>
      <c r="BG1019" s="21"/>
    </row>
    <row r="1020" spans="38:59">
      <c r="AL1020" s="21"/>
      <c r="AM1020" s="24"/>
      <c r="AN1020" s="21"/>
      <c r="AO1020" s="21"/>
      <c r="AP1020" s="64"/>
      <c r="AQ1020" s="64"/>
      <c r="AR1020" s="21"/>
      <c r="AS1020" s="21"/>
      <c r="AT1020" s="21"/>
      <c r="AU1020" s="22"/>
      <c r="AV1020" s="21"/>
      <c r="AW1020" s="21"/>
      <c r="AX1020" s="21"/>
      <c r="AY1020" s="21"/>
      <c r="AZ1020" s="21"/>
      <c r="BA1020" s="21"/>
      <c r="BB1020" s="21"/>
      <c r="BC1020" s="21"/>
      <c r="BD1020" s="21"/>
      <c r="BE1020" s="21"/>
      <c r="BF1020" s="21"/>
      <c r="BG1020" s="21"/>
    </row>
    <row r="1021" spans="38:59">
      <c r="AL1021" s="21"/>
      <c r="AM1021" s="24"/>
      <c r="AN1021" s="21"/>
      <c r="AO1021" s="21"/>
      <c r="AP1021" s="64"/>
      <c r="AQ1021" s="64"/>
      <c r="AR1021" s="21"/>
      <c r="AS1021" s="21"/>
      <c r="AT1021" s="21"/>
      <c r="AU1021" s="22"/>
      <c r="AV1021" s="21"/>
      <c r="AW1021" s="21"/>
      <c r="AX1021" s="21"/>
      <c r="AY1021" s="21"/>
      <c r="AZ1021" s="21"/>
      <c r="BA1021" s="21"/>
      <c r="BB1021" s="21"/>
      <c r="BC1021" s="21"/>
      <c r="BD1021" s="21"/>
      <c r="BE1021" s="21"/>
      <c r="BF1021" s="21"/>
      <c r="BG1021" s="21"/>
    </row>
    <row r="1022" spans="38:59">
      <c r="AL1022" s="21"/>
      <c r="AM1022" s="24"/>
      <c r="AN1022" s="21"/>
      <c r="AO1022" s="21"/>
      <c r="AP1022" s="64"/>
      <c r="AQ1022" s="64"/>
      <c r="AR1022" s="21"/>
      <c r="AS1022" s="21"/>
      <c r="AT1022" s="21"/>
      <c r="AU1022" s="22"/>
      <c r="AV1022" s="21"/>
      <c r="AW1022" s="21"/>
      <c r="AX1022" s="21"/>
      <c r="AY1022" s="21"/>
      <c r="AZ1022" s="21"/>
      <c r="BA1022" s="21"/>
      <c r="BB1022" s="21"/>
      <c r="BC1022" s="21"/>
      <c r="BD1022" s="21"/>
      <c r="BE1022" s="21"/>
      <c r="BF1022" s="21"/>
      <c r="BG1022" s="21"/>
    </row>
    <row r="1023" spans="38:59">
      <c r="AL1023" s="21"/>
      <c r="AM1023" s="24"/>
      <c r="AN1023" s="21"/>
      <c r="AO1023" s="21"/>
      <c r="AP1023" s="64"/>
      <c r="AQ1023" s="64"/>
      <c r="AR1023" s="21"/>
      <c r="AS1023" s="21"/>
      <c r="AT1023" s="21"/>
      <c r="AU1023" s="22"/>
      <c r="AV1023" s="21"/>
      <c r="AW1023" s="21"/>
      <c r="AX1023" s="21"/>
      <c r="AY1023" s="21"/>
      <c r="AZ1023" s="21"/>
      <c r="BA1023" s="21"/>
      <c r="BB1023" s="21"/>
      <c r="BC1023" s="21"/>
      <c r="BD1023" s="21"/>
      <c r="BE1023" s="21"/>
      <c r="BF1023" s="21"/>
      <c r="BG1023" s="21"/>
    </row>
    <row r="1024" spans="38:59">
      <c r="AL1024" s="21"/>
      <c r="AM1024" s="24"/>
      <c r="AN1024" s="21"/>
      <c r="AO1024" s="21"/>
      <c r="AP1024" s="64"/>
      <c r="AQ1024" s="64"/>
      <c r="AR1024" s="21"/>
      <c r="AS1024" s="21"/>
      <c r="AT1024" s="21"/>
      <c r="AU1024" s="22"/>
      <c r="AV1024" s="21"/>
      <c r="AW1024" s="21"/>
      <c r="AX1024" s="21"/>
      <c r="AY1024" s="21"/>
      <c r="AZ1024" s="21"/>
      <c r="BA1024" s="21"/>
      <c r="BB1024" s="21"/>
      <c r="BC1024" s="21"/>
      <c r="BD1024" s="21"/>
      <c r="BE1024" s="21"/>
      <c r="BF1024" s="21"/>
      <c r="BG1024" s="21"/>
    </row>
    <row r="1025" spans="38:59">
      <c r="AL1025" s="21"/>
      <c r="AM1025" s="24"/>
      <c r="AN1025" s="21"/>
      <c r="AO1025" s="21"/>
      <c r="AP1025" s="64"/>
      <c r="AQ1025" s="64"/>
      <c r="AR1025" s="21"/>
      <c r="AS1025" s="21"/>
      <c r="AT1025" s="21"/>
      <c r="AU1025" s="22"/>
      <c r="AV1025" s="21"/>
      <c r="AW1025" s="21"/>
      <c r="AX1025" s="21"/>
      <c r="AY1025" s="21"/>
      <c r="AZ1025" s="21"/>
      <c r="BA1025" s="21"/>
      <c r="BB1025" s="21"/>
      <c r="BC1025" s="21"/>
      <c r="BD1025" s="21"/>
      <c r="BE1025" s="21"/>
      <c r="BF1025" s="21"/>
      <c r="BG1025" s="21"/>
    </row>
    <row r="1026" spans="38:59">
      <c r="AL1026" s="21"/>
      <c r="AM1026" s="24"/>
      <c r="AN1026" s="21"/>
      <c r="AO1026" s="21"/>
      <c r="AP1026" s="64"/>
      <c r="AQ1026" s="64"/>
      <c r="AR1026" s="21"/>
      <c r="AS1026" s="21"/>
      <c r="AT1026" s="21"/>
      <c r="AU1026" s="22"/>
      <c r="AV1026" s="21"/>
      <c r="AW1026" s="21"/>
      <c r="AX1026" s="21"/>
      <c r="AY1026" s="21"/>
      <c r="AZ1026" s="21"/>
      <c r="BA1026" s="21"/>
      <c r="BB1026" s="21"/>
      <c r="BC1026" s="21"/>
      <c r="BD1026" s="21"/>
      <c r="BE1026" s="21"/>
      <c r="BF1026" s="21"/>
      <c r="BG1026" s="21"/>
    </row>
    <row r="1027" spans="38:59">
      <c r="AL1027" s="21"/>
      <c r="AM1027" s="24"/>
      <c r="AN1027" s="21"/>
      <c r="AO1027" s="21"/>
      <c r="AP1027" s="64"/>
      <c r="AQ1027" s="64"/>
      <c r="AR1027" s="21"/>
      <c r="AS1027" s="21"/>
      <c r="AT1027" s="21"/>
      <c r="AU1027" s="22"/>
      <c r="AV1027" s="21"/>
      <c r="AW1027" s="21"/>
      <c r="AX1027" s="21"/>
      <c r="AY1027" s="21"/>
      <c r="AZ1027" s="21"/>
      <c r="BA1027" s="21"/>
      <c r="BB1027" s="21"/>
      <c r="BC1027" s="21"/>
      <c r="BD1027" s="21"/>
      <c r="BE1027" s="21"/>
      <c r="BF1027" s="21"/>
      <c r="BG1027" s="21"/>
    </row>
    <row r="1028" spans="38:59">
      <c r="AL1028" s="21"/>
      <c r="AM1028" s="24"/>
      <c r="AN1028" s="21"/>
      <c r="AO1028" s="21"/>
      <c r="AP1028" s="64"/>
      <c r="AQ1028" s="64"/>
      <c r="AR1028" s="21"/>
      <c r="AS1028" s="21"/>
      <c r="AT1028" s="21"/>
      <c r="AU1028" s="22"/>
      <c r="AV1028" s="21"/>
      <c r="AW1028" s="21"/>
      <c r="AX1028" s="21"/>
      <c r="AY1028" s="21"/>
      <c r="AZ1028" s="21"/>
      <c r="BA1028" s="21"/>
      <c r="BB1028" s="21"/>
      <c r="BC1028" s="21"/>
      <c r="BD1028" s="21"/>
      <c r="BE1028" s="21"/>
      <c r="BF1028" s="21"/>
      <c r="BG1028" s="21"/>
    </row>
    <row r="1029" spans="38:59">
      <c r="AL1029" s="21"/>
      <c r="AM1029" s="24"/>
      <c r="AN1029" s="21"/>
      <c r="AO1029" s="21"/>
      <c r="AP1029" s="64"/>
      <c r="AQ1029" s="64"/>
      <c r="AR1029" s="21"/>
      <c r="AS1029" s="21"/>
      <c r="AT1029" s="21"/>
      <c r="AU1029" s="22"/>
      <c r="AV1029" s="21"/>
      <c r="AW1029" s="21"/>
      <c r="AX1029" s="21"/>
      <c r="AY1029" s="21"/>
      <c r="AZ1029" s="21"/>
      <c r="BA1029" s="21"/>
      <c r="BB1029" s="21"/>
      <c r="BC1029" s="21"/>
      <c r="BD1029" s="21"/>
      <c r="BE1029" s="21"/>
      <c r="BF1029" s="21"/>
      <c r="BG1029" s="21"/>
    </row>
    <row r="1030" spans="38:59">
      <c r="AL1030" s="21"/>
      <c r="AM1030" s="24"/>
      <c r="AN1030" s="21"/>
      <c r="AO1030" s="21"/>
      <c r="AP1030" s="64"/>
      <c r="AQ1030" s="64"/>
      <c r="AR1030" s="21"/>
      <c r="AS1030" s="21"/>
      <c r="AT1030" s="21"/>
      <c r="AU1030" s="22"/>
      <c r="AV1030" s="21"/>
      <c r="AW1030" s="21"/>
      <c r="AX1030" s="21"/>
      <c r="AY1030" s="21"/>
      <c r="AZ1030" s="21"/>
      <c r="BA1030" s="21"/>
      <c r="BB1030" s="21"/>
      <c r="BC1030" s="21"/>
      <c r="BD1030" s="21"/>
      <c r="BE1030" s="21"/>
      <c r="BF1030" s="21"/>
      <c r="BG1030" s="21"/>
    </row>
    <row r="1031" spans="38:59">
      <c r="AL1031" s="21"/>
      <c r="AM1031" s="24"/>
      <c r="AN1031" s="21"/>
      <c r="AO1031" s="21"/>
      <c r="AP1031" s="64"/>
      <c r="AQ1031" s="64"/>
      <c r="AR1031" s="21"/>
      <c r="AS1031" s="21"/>
      <c r="AT1031" s="21"/>
      <c r="AU1031" s="22"/>
      <c r="AV1031" s="21"/>
      <c r="AW1031" s="21"/>
      <c r="AX1031" s="21"/>
      <c r="AY1031" s="21"/>
      <c r="AZ1031" s="21"/>
      <c r="BA1031" s="21"/>
      <c r="BB1031" s="21"/>
      <c r="BC1031" s="21"/>
      <c r="BD1031" s="21"/>
      <c r="BE1031" s="21"/>
      <c r="BF1031" s="21"/>
      <c r="BG1031" s="21"/>
    </row>
    <row r="1032" spans="38:59">
      <c r="AL1032" s="21"/>
      <c r="AM1032" s="24"/>
      <c r="AN1032" s="21"/>
      <c r="AO1032" s="21"/>
      <c r="AP1032" s="64"/>
      <c r="AQ1032" s="64"/>
      <c r="AR1032" s="21"/>
      <c r="AS1032" s="21"/>
      <c r="AT1032" s="21"/>
      <c r="AU1032" s="22"/>
      <c r="AV1032" s="21"/>
      <c r="AW1032" s="21"/>
      <c r="AX1032" s="21"/>
      <c r="AY1032" s="21"/>
      <c r="AZ1032" s="21"/>
      <c r="BA1032" s="21"/>
      <c r="BB1032" s="21"/>
      <c r="BC1032" s="21"/>
      <c r="BD1032" s="21"/>
      <c r="BE1032" s="21"/>
      <c r="BF1032" s="21"/>
      <c r="BG1032" s="21"/>
    </row>
    <row r="1033" spans="38:59">
      <c r="AL1033" s="21"/>
      <c r="AM1033" s="24"/>
      <c r="AN1033" s="21"/>
      <c r="AO1033" s="21"/>
      <c r="AP1033" s="64"/>
      <c r="AQ1033" s="64"/>
      <c r="AR1033" s="21"/>
      <c r="AS1033" s="21"/>
      <c r="AT1033" s="21"/>
      <c r="AU1033" s="22"/>
      <c r="AV1033" s="21"/>
      <c r="AW1033" s="21"/>
      <c r="AX1033" s="21"/>
      <c r="AY1033" s="21"/>
      <c r="AZ1033" s="21"/>
      <c r="BA1033" s="21"/>
      <c r="BB1033" s="21"/>
      <c r="BC1033" s="21"/>
      <c r="BD1033" s="21"/>
      <c r="BE1033" s="21"/>
      <c r="BF1033" s="21"/>
      <c r="BG1033" s="21"/>
    </row>
    <row r="1034" spans="38:59">
      <c r="AL1034" s="21"/>
      <c r="AM1034" s="24"/>
      <c r="AN1034" s="21"/>
      <c r="AO1034" s="21"/>
      <c r="AP1034" s="64"/>
      <c r="AQ1034" s="64"/>
      <c r="AR1034" s="21"/>
      <c r="AS1034" s="21"/>
      <c r="AT1034" s="21"/>
      <c r="AU1034" s="22"/>
      <c r="AV1034" s="21"/>
      <c r="AW1034" s="21"/>
      <c r="AX1034" s="21"/>
      <c r="AY1034" s="21"/>
      <c r="AZ1034" s="21"/>
      <c r="BA1034" s="21"/>
      <c r="BB1034" s="21"/>
      <c r="BC1034" s="21"/>
      <c r="BD1034" s="21"/>
      <c r="BE1034" s="21"/>
      <c r="BF1034" s="21"/>
      <c r="BG1034" s="21"/>
    </row>
    <row r="1035" spans="38:59">
      <c r="AL1035" s="21"/>
      <c r="AM1035" s="24"/>
      <c r="AN1035" s="21"/>
      <c r="AO1035" s="21"/>
      <c r="AP1035" s="64"/>
      <c r="AQ1035" s="64"/>
      <c r="AR1035" s="21"/>
      <c r="AS1035" s="21"/>
      <c r="AT1035" s="21"/>
      <c r="AU1035" s="22"/>
      <c r="AV1035" s="21"/>
      <c r="AW1035" s="21"/>
      <c r="AX1035" s="21"/>
      <c r="AY1035" s="21"/>
      <c r="AZ1035" s="21"/>
      <c r="BA1035" s="21"/>
      <c r="BB1035" s="21"/>
      <c r="BC1035" s="21"/>
      <c r="BD1035" s="21"/>
      <c r="BE1035" s="21"/>
      <c r="BF1035" s="21"/>
      <c r="BG1035" s="21"/>
    </row>
    <row r="1036" spans="38:59">
      <c r="AL1036" s="21"/>
      <c r="AM1036" s="24"/>
      <c r="AN1036" s="21"/>
      <c r="AO1036" s="21"/>
      <c r="AP1036" s="64"/>
      <c r="AQ1036" s="64"/>
      <c r="AR1036" s="21"/>
      <c r="AS1036" s="21"/>
      <c r="AT1036" s="21"/>
      <c r="AU1036" s="22"/>
      <c r="AV1036" s="21"/>
      <c r="AW1036" s="21"/>
      <c r="AX1036" s="21"/>
      <c r="AY1036" s="21"/>
      <c r="AZ1036" s="21"/>
      <c r="BA1036" s="21"/>
      <c r="BB1036" s="21"/>
      <c r="BC1036" s="21"/>
      <c r="BD1036" s="21"/>
      <c r="BE1036" s="21"/>
      <c r="BF1036" s="21"/>
      <c r="BG1036" s="21"/>
    </row>
    <row r="1037" spans="38:59">
      <c r="AL1037" s="21"/>
      <c r="AM1037" s="24"/>
      <c r="AN1037" s="21"/>
      <c r="AO1037" s="21"/>
      <c r="AP1037" s="64"/>
      <c r="AQ1037" s="64"/>
      <c r="AR1037" s="21"/>
      <c r="AS1037" s="21"/>
      <c r="AT1037" s="21"/>
      <c r="AU1037" s="22"/>
      <c r="AV1037" s="21"/>
      <c r="AW1037" s="21"/>
      <c r="AX1037" s="21"/>
      <c r="AY1037" s="21"/>
      <c r="AZ1037" s="21"/>
      <c r="BA1037" s="21"/>
      <c r="BB1037" s="21"/>
      <c r="BC1037" s="21"/>
      <c r="BD1037" s="21"/>
      <c r="BE1037" s="21"/>
      <c r="BF1037" s="21"/>
      <c r="BG1037" s="21"/>
    </row>
    <row r="1038" spans="38:59">
      <c r="AL1038" s="21"/>
      <c r="AM1038" s="24"/>
      <c r="AN1038" s="21"/>
      <c r="AO1038" s="21"/>
      <c r="AP1038" s="64"/>
      <c r="AQ1038" s="64"/>
      <c r="AR1038" s="21"/>
      <c r="AS1038" s="21"/>
      <c r="AT1038" s="21"/>
      <c r="AU1038" s="22"/>
      <c r="AV1038" s="21"/>
      <c r="AW1038" s="21"/>
      <c r="AX1038" s="21"/>
      <c r="AY1038" s="21"/>
      <c r="AZ1038" s="21"/>
      <c r="BA1038" s="21"/>
      <c r="BB1038" s="21"/>
      <c r="BC1038" s="21"/>
      <c r="BD1038" s="21"/>
      <c r="BE1038" s="21"/>
      <c r="BF1038" s="21"/>
      <c r="BG1038" s="21"/>
    </row>
    <row r="1039" spans="38:59">
      <c r="AL1039" s="21"/>
      <c r="AM1039" s="24"/>
      <c r="AN1039" s="21"/>
      <c r="AO1039" s="21"/>
      <c r="AP1039" s="64"/>
      <c r="AQ1039" s="64"/>
      <c r="AR1039" s="21"/>
      <c r="AS1039" s="21"/>
      <c r="AT1039" s="21"/>
      <c r="AU1039" s="22"/>
      <c r="AV1039" s="21"/>
      <c r="AW1039" s="21"/>
      <c r="AX1039" s="21"/>
      <c r="AY1039" s="21"/>
      <c r="AZ1039" s="21"/>
      <c r="BA1039" s="21"/>
      <c r="BB1039" s="21"/>
      <c r="BC1039" s="21"/>
      <c r="BD1039" s="21"/>
      <c r="BE1039" s="21"/>
      <c r="BF1039" s="21"/>
      <c r="BG1039" s="21"/>
    </row>
    <row r="1040" spans="38:59">
      <c r="AL1040" s="21"/>
      <c r="AM1040" s="24"/>
      <c r="AN1040" s="21"/>
      <c r="AO1040" s="21"/>
      <c r="AP1040" s="64"/>
      <c r="AQ1040" s="64"/>
      <c r="AR1040" s="21"/>
      <c r="AS1040" s="21"/>
      <c r="AT1040" s="21"/>
      <c r="AU1040" s="22"/>
      <c r="AV1040" s="21"/>
      <c r="AW1040" s="21"/>
      <c r="AX1040" s="21"/>
      <c r="AY1040" s="21"/>
      <c r="AZ1040" s="21"/>
      <c r="BA1040" s="21"/>
      <c r="BB1040" s="21"/>
      <c r="BC1040" s="21"/>
      <c r="BD1040" s="21"/>
      <c r="BE1040" s="21"/>
      <c r="BF1040" s="21"/>
      <c r="BG1040" s="21"/>
    </row>
    <row r="1041" spans="38:59">
      <c r="AL1041" s="21"/>
      <c r="AM1041" s="24"/>
      <c r="AN1041" s="21"/>
      <c r="AO1041" s="21"/>
      <c r="AP1041" s="64"/>
      <c r="AQ1041" s="64"/>
      <c r="AR1041" s="21"/>
      <c r="AS1041" s="21"/>
      <c r="AT1041" s="21"/>
      <c r="AU1041" s="22"/>
      <c r="AV1041" s="21"/>
      <c r="AW1041" s="21"/>
      <c r="AX1041" s="21"/>
      <c r="AY1041" s="21"/>
      <c r="AZ1041" s="21"/>
      <c r="BA1041" s="21"/>
      <c r="BB1041" s="21"/>
      <c r="BC1041" s="21"/>
      <c r="BD1041" s="21"/>
      <c r="BE1041" s="21"/>
      <c r="BF1041" s="21"/>
      <c r="BG1041" s="21"/>
    </row>
    <row r="1042" spans="38:59">
      <c r="AL1042" s="21"/>
      <c r="AM1042" s="24"/>
      <c r="AN1042" s="21"/>
      <c r="AO1042" s="21"/>
      <c r="AP1042" s="64"/>
      <c r="AQ1042" s="64"/>
      <c r="AR1042" s="21"/>
      <c r="AS1042" s="21"/>
      <c r="AT1042" s="21"/>
      <c r="AU1042" s="22"/>
      <c r="AV1042" s="21"/>
      <c r="AW1042" s="21"/>
      <c r="AX1042" s="21"/>
      <c r="AY1042" s="21"/>
      <c r="AZ1042" s="21"/>
      <c r="BA1042" s="21"/>
      <c r="BB1042" s="21"/>
      <c r="BC1042" s="21"/>
      <c r="BD1042" s="21"/>
      <c r="BE1042" s="21"/>
      <c r="BF1042" s="21"/>
      <c r="BG1042" s="21"/>
    </row>
    <row r="1043" spans="38:59">
      <c r="AL1043" s="21"/>
      <c r="AM1043" s="24"/>
      <c r="AN1043" s="21"/>
      <c r="AO1043" s="21"/>
      <c r="AP1043" s="64"/>
      <c r="AQ1043" s="64"/>
      <c r="AR1043" s="21"/>
      <c r="AS1043" s="21"/>
      <c r="AT1043" s="21"/>
      <c r="AU1043" s="22"/>
      <c r="AV1043" s="21"/>
      <c r="AW1043" s="21"/>
      <c r="AX1043" s="21"/>
      <c r="AY1043" s="21"/>
      <c r="AZ1043" s="21"/>
      <c r="BA1043" s="21"/>
      <c r="BB1043" s="21"/>
      <c r="BC1043" s="21"/>
      <c r="BD1043" s="21"/>
      <c r="BE1043" s="21"/>
      <c r="BF1043" s="21"/>
      <c r="BG1043" s="21"/>
    </row>
    <row r="1044" spans="38:59">
      <c r="AL1044" s="21"/>
      <c r="AM1044" s="24"/>
      <c r="AN1044" s="21"/>
      <c r="AO1044" s="21"/>
      <c r="AP1044" s="64"/>
      <c r="AQ1044" s="64"/>
      <c r="AR1044" s="21"/>
      <c r="AS1044" s="21"/>
      <c r="AT1044" s="21"/>
      <c r="AU1044" s="22"/>
      <c r="AV1044" s="21"/>
      <c r="AW1044" s="21"/>
      <c r="AX1044" s="21"/>
      <c r="AY1044" s="21"/>
      <c r="AZ1044" s="21"/>
      <c r="BA1044" s="21"/>
      <c r="BB1044" s="21"/>
      <c r="BC1044" s="21"/>
      <c r="BD1044" s="21"/>
      <c r="BE1044" s="21"/>
      <c r="BF1044" s="21"/>
      <c r="BG1044" s="21"/>
    </row>
    <row r="1045" spans="38:59">
      <c r="AL1045" s="21"/>
      <c r="AM1045" s="24"/>
      <c r="AN1045" s="21"/>
      <c r="AO1045" s="21"/>
      <c r="AP1045" s="64"/>
      <c r="AQ1045" s="64"/>
      <c r="AR1045" s="21"/>
      <c r="AS1045" s="21"/>
      <c r="AT1045" s="21"/>
      <c r="AU1045" s="22"/>
      <c r="AV1045" s="21"/>
      <c r="AW1045" s="21"/>
      <c r="AX1045" s="21"/>
      <c r="AY1045" s="21"/>
      <c r="AZ1045" s="21"/>
      <c r="BA1045" s="21"/>
      <c r="BB1045" s="21"/>
      <c r="BC1045" s="21"/>
      <c r="BD1045" s="21"/>
      <c r="BE1045" s="21"/>
      <c r="BF1045" s="21"/>
      <c r="BG1045" s="21"/>
    </row>
    <row r="1046" spans="38:59">
      <c r="AL1046" s="21"/>
      <c r="AM1046" s="24"/>
      <c r="AN1046" s="21"/>
      <c r="AO1046" s="21"/>
      <c r="AP1046" s="64"/>
      <c r="AQ1046" s="64"/>
      <c r="AR1046" s="21"/>
      <c r="AS1046" s="21"/>
      <c r="AT1046" s="21"/>
      <c r="AU1046" s="22"/>
      <c r="AV1046" s="21"/>
      <c r="AW1046" s="21"/>
      <c r="AX1046" s="21"/>
      <c r="AY1046" s="21"/>
      <c r="AZ1046" s="21"/>
      <c r="BA1046" s="21"/>
      <c r="BB1046" s="21"/>
      <c r="BC1046" s="21"/>
      <c r="BD1046" s="21"/>
      <c r="BE1046" s="21"/>
      <c r="BF1046" s="21"/>
      <c r="BG1046" s="21"/>
    </row>
    <row r="1047" spans="38:59">
      <c r="AL1047" s="21"/>
      <c r="AM1047" s="24"/>
      <c r="AN1047" s="21"/>
      <c r="AO1047" s="21"/>
      <c r="AP1047" s="64"/>
      <c r="AQ1047" s="64"/>
      <c r="AR1047" s="21"/>
      <c r="AS1047" s="21"/>
      <c r="AT1047" s="21"/>
      <c r="AU1047" s="22"/>
      <c r="AV1047" s="21"/>
      <c r="AW1047" s="21"/>
      <c r="AX1047" s="21"/>
      <c r="AY1047" s="21"/>
      <c r="AZ1047" s="21"/>
      <c r="BA1047" s="21"/>
      <c r="BB1047" s="21"/>
      <c r="BC1047" s="21"/>
      <c r="BD1047" s="21"/>
      <c r="BE1047" s="21"/>
      <c r="BF1047" s="21"/>
      <c r="BG1047" s="21"/>
    </row>
    <row r="1048" spans="38:59">
      <c r="AL1048" s="21"/>
      <c r="AM1048" s="24"/>
      <c r="AN1048" s="21"/>
      <c r="AO1048" s="21"/>
      <c r="AP1048" s="64"/>
      <c r="AQ1048" s="64"/>
      <c r="AR1048" s="21"/>
      <c r="AS1048" s="21"/>
      <c r="AT1048" s="21"/>
      <c r="AU1048" s="22"/>
      <c r="AV1048" s="21"/>
      <c r="AW1048" s="21"/>
      <c r="AX1048" s="21"/>
      <c r="AY1048" s="21"/>
      <c r="AZ1048" s="21"/>
      <c r="BA1048" s="21"/>
      <c r="BB1048" s="21"/>
      <c r="BC1048" s="21"/>
      <c r="BD1048" s="21"/>
      <c r="BE1048" s="21"/>
      <c r="BF1048" s="21"/>
      <c r="BG1048" s="21"/>
    </row>
    <row r="1049" spans="38:59">
      <c r="AL1049" s="21"/>
      <c r="AM1049" s="24"/>
      <c r="AN1049" s="21"/>
      <c r="AO1049" s="21"/>
      <c r="AP1049" s="64"/>
      <c r="AQ1049" s="64"/>
      <c r="AR1049" s="21"/>
      <c r="AS1049" s="21"/>
      <c r="AT1049" s="21"/>
      <c r="AU1049" s="22"/>
      <c r="AV1049" s="21"/>
      <c r="AW1049" s="21"/>
      <c r="AX1049" s="21"/>
      <c r="AY1049" s="21"/>
      <c r="AZ1049" s="21"/>
      <c r="BA1049" s="21"/>
      <c r="BB1049" s="21"/>
      <c r="BC1049" s="21"/>
      <c r="BD1049" s="21"/>
      <c r="BE1049" s="21"/>
      <c r="BF1049" s="21"/>
      <c r="BG1049" s="21"/>
    </row>
    <row r="1050" spans="38:59">
      <c r="AL1050" s="21"/>
      <c r="AM1050" s="24"/>
      <c r="AN1050" s="21"/>
      <c r="AO1050" s="21"/>
      <c r="AP1050" s="64"/>
      <c r="AQ1050" s="64"/>
      <c r="AR1050" s="21"/>
      <c r="AS1050" s="21"/>
      <c r="AT1050" s="21"/>
      <c r="AU1050" s="22"/>
      <c r="AV1050" s="21"/>
      <c r="AW1050" s="21"/>
      <c r="AX1050" s="21"/>
      <c r="AY1050" s="21"/>
      <c r="AZ1050" s="21"/>
      <c r="BA1050" s="21"/>
      <c r="BB1050" s="21"/>
      <c r="BC1050" s="21"/>
      <c r="BD1050" s="21"/>
      <c r="BE1050" s="21"/>
      <c r="BF1050" s="21"/>
      <c r="BG1050" s="21"/>
    </row>
    <row r="1051" spans="38:59">
      <c r="AL1051" s="21"/>
      <c r="AM1051" s="24"/>
      <c r="AN1051" s="21"/>
      <c r="AO1051" s="21"/>
      <c r="AP1051" s="64"/>
      <c r="AQ1051" s="64"/>
      <c r="AR1051" s="21"/>
      <c r="AS1051" s="21"/>
      <c r="AT1051" s="21"/>
      <c r="AU1051" s="22"/>
      <c r="AV1051" s="21"/>
      <c r="AW1051" s="21"/>
      <c r="AX1051" s="21"/>
      <c r="AY1051" s="21"/>
      <c r="AZ1051" s="21"/>
      <c r="BA1051" s="21"/>
      <c r="BB1051" s="21"/>
      <c r="BC1051" s="21"/>
      <c r="BD1051" s="21"/>
      <c r="BE1051" s="21"/>
      <c r="BF1051" s="21"/>
      <c r="BG1051" s="21"/>
    </row>
    <row r="1052" spans="38:59">
      <c r="AL1052" s="21"/>
      <c r="AM1052" s="24"/>
      <c r="AN1052" s="21"/>
      <c r="AO1052" s="21"/>
      <c r="AP1052" s="64"/>
      <c r="AQ1052" s="64"/>
      <c r="AR1052" s="21"/>
      <c r="AS1052" s="21"/>
      <c r="AT1052" s="21"/>
      <c r="AU1052" s="22"/>
      <c r="AV1052" s="21"/>
      <c r="AW1052" s="21"/>
      <c r="AX1052" s="21"/>
      <c r="AY1052" s="21"/>
      <c r="AZ1052" s="21"/>
      <c r="BA1052" s="21"/>
      <c r="BB1052" s="21"/>
      <c r="BC1052" s="21"/>
      <c r="BD1052" s="21"/>
      <c r="BE1052" s="21"/>
      <c r="BF1052" s="21"/>
      <c r="BG1052" s="21"/>
    </row>
    <row r="1053" spans="38:59">
      <c r="AL1053" s="21"/>
      <c r="AM1053" s="24"/>
      <c r="AN1053" s="21"/>
      <c r="AO1053" s="21"/>
      <c r="AP1053" s="64"/>
      <c r="AQ1053" s="64"/>
      <c r="AR1053" s="21"/>
      <c r="AS1053" s="21"/>
      <c r="AT1053" s="21"/>
      <c r="AU1053" s="22"/>
      <c r="AV1053" s="21"/>
      <c r="AW1053" s="21"/>
      <c r="AX1053" s="21"/>
      <c r="AY1053" s="21"/>
      <c r="AZ1053" s="21"/>
      <c r="BA1053" s="21"/>
      <c r="BB1053" s="21"/>
      <c r="BC1053" s="21"/>
      <c r="BD1053" s="21"/>
      <c r="BE1053" s="21"/>
      <c r="BF1053" s="21"/>
      <c r="BG1053" s="21"/>
    </row>
    <row r="1054" spans="38:59">
      <c r="AL1054" s="21"/>
      <c r="AM1054" s="24"/>
      <c r="AN1054" s="21"/>
      <c r="AO1054" s="21"/>
      <c r="AP1054" s="64"/>
      <c r="AQ1054" s="64"/>
      <c r="AR1054" s="21"/>
      <c r="AS1054" s="21"/>
      <c r="AT1054" s="21"/>
      <c r="AU1054" s="22"/>
      <c r="AV1054" s="21"/>
      <c r="AW1054" s="21"/>
      <c r="AX1054" s="21"/>
      <c r="AY1054" s="21"/>
      <c r="AZ1054" s="21"/>
      <c r="BA1054" s="21"/>
      <c r="BB1054" s="21"/>
      <c r="BC1054" s="21"/>
      <c r="BD1054" s="21"/>
      <c r="BE1054" s="21"/>
      <c r="BF1054" s="21"/>
      <c r="BG1054" s="21"/>
    </row>
    <row r="1055" spans="38:59">
      <c r="AL1055" s="21"/>
      <c r="AM1055" s="24"/>
      <c r="AN1055" s="21"/>
      <c r="AO1055" s="21"/>
      <c r="AP1055" s="64"/>
      <c r="AQ1055" s="64"/>
      <c r="AR1055" s="21"/>
      <c r="AS1055" s="21"/>
      <c r="AT1055" s="21"/>
      <c r="AU1055" s="22"/>
      <c r="AV1055" s="21"/>
      <c r="AW1055" s="21"/>
      <c r="AX1055" s="21"/>
      <c r="AY1055" s="21"/>
      <c r="AZ1055" s="21"/>
      <c r="BA1055" s="21"/>
      <c r="BB1055" s="21"/>
      <c r="BC1055" s="21"/>
      <c r="BD1055" s="21"/>
      <c r="BE1055" s="21"/>
      <c r="BF1055" s="21"/>
      <c r="BG1055" s="21"/>
    </row>
    <row r="1056" spans="38:59">
      <c r="AL1056" s="21"/>
      <c r="AM1056" s="24"/>
      <c r="AN1056" s="21"/>
      <c r="AO1056" s="21"/>
      <c r="AP1056" s="64"/>
      <c r="AQ1056" s="64"/>
      <c r="AR1056" s="21"/>
      <c r="AS1056" s="21"/>
      <c r="AT1056" s="21"/>
      <c r="AU1056" s="22"/>
      <c r="AV1056" s="21"/>
      <c r="AW1056" s="21"/>
      <c r="AX1056" s="21"/>
      <c r="AY1056" s="21"/>
      <c r="AZ1056" s="21"/>
      <c r="BA1056" s="21"/>
      <c r="BB1056" s="21"/>
      <c r="BC1056" s="21"/>
      <c r="BD1056" s="21"/>
      <c r="BE1056" s="21"/>
      <c r="BF1056" s="21"/>
      <c r="BG1056" s="21"/>
    </row>
    <row r="1057" spans="38:59">
      <c r="AL1057" s="21"/>
      <c r="AM1057" s="24"/>
      <c r="AN1057" s="21"/>
      <c r="AO1057" s="21"/>
      <c r="AP1057" s="64"/>
      <c r="AQ1057" s="64"/>
      <c r="AR1057" s="21"/>
      <c r="AS1057" s="21"/>
      <c r="AT1057" s="21"/>
      <c r="AU1057" s="22"/>
      <c r="AV1057" s="21"/>
      <c r="AW1057" s="21"/>
      <c r="AX1057" s="21"/>
      <c r="AY1057" s="21"/>
      <c r="AZ1057" s="21"/>
      <c r="BA1057" s="21"/>
      <c r="BB1057" s="21"/>
      <c r="BC1057" s="21"/>
      <c r="BD1057" s="21"/>
      <c r="BE1057" s="21"/>
      <c r="BF1057" s="21"/>
      <c r="BG1057" s="21"/>
    </row>
    <row r="1058" spans="38:59">
      <c r="AL1058" s="21"/>
      <c r="AM1058" s="24"/>
      <c r="AN1058" s="21"/>
      <c r="AO1058" s="21"/>
      <c r="AP1058" s="64"/>
      <c r="AQ1058" s="64"/>
      <c r="AR1058" s="21"/>
      <c r="AS1058" s="21"/>
      <c r="AT1058" s="21"/>
      <c r="AU1058" s="22"/>
      <c r="AV1058" s="21"/>
      <c r="AW1058" s="21"/>
      <c r="AX1058" s="21"/>
      <c r="AY1058" s="21"/>
      <c r="AZ1058" s="21"/>
      <c r="BA1058" s="21"/>
      <c r="BB1058" s="21"/>
      <c r="BC1058" s="21"/>
      <c r="BD1058" s="21"/>
      <c r="BE1058" s="21"/>
      <c r="BF1058" s="21"/>
      <c r="BG1058" s="21"/>
    </row>
    <row r="1059" spans="38:59">
      <c r="AL1059" s="21"/>
      <c r="AM1059" s="24"/>
      <c r="AN1059" s="21"/>
      <c r="AO1059" s="21"/>
      <c r="AP1059" s="64"/>
      <c r="AQ1059" s="64"/>
      <c r="AR1059" s="21"/>
      <c r="AS1059" s="21"/>
      <c r="AT1059" s="21"/>
      <c r="AU1059" s="22"/>
      <c r="AV1059" s="21"/>
      <c r="AW1059" s="21"/>
      <c r="AX1059" s="21"/>
      <c r="AY1059" s="21"/>
      <c r="AZ1059" s="21"/>
      <c r="BA1059" s="21"/>
      <c r="BB1059" s="21"/>
      <c r="BC1059" s="21"/>
      <c r="BD1059" s="21"/>
      <c r="BE1059" s="21"/>
      <c r="BF1059" s="21"/>
      <c r="BG1059" s="21"/>
    </row>
    <row r="1060" spans="38:59">
      <c r="AL1060" s="21"/>
      <c r="AM1060" s="24"/>
      <c r="AN1060" s="21"/>
      <c r="AO1060" s="21"/>
      <c r="AP1060" s="64"/>
      <c r="AQ1060" s="64"/>
      <c r="AR1060" s="21"/>
      <c r="AS1060" s="21"/>
      <c r="AT1060" s="21"/>
      <c r="AU1060" s="22"/>
      <c r="AV1060" s="21"/>
      <c r="AW1060" s="21"/>
      <c r="AX1060" s="21"/>
      <c r="AY1060" s="21"/>
      <c r="AZ1060" s="21"/>
      <c r="BA1060" s="21"/>
      <c r="BB1060" s="21"/>
      <c r="BC1060" s="21"/>
      <c r="BD1060" s="21"/>
      <c r="BE1060" s="21"/>
      <c r="BF1060" s="21"/>
      <c r="BG1060" s="21"/>
    </row>
    <row r="1061" spans="38:59">
      <c r="AL1061" s="21"/>
      <c r="AM1061" s="24"/>
      <c r="AN1061" s="21"/>
      <c r="AO1061" s="21"/>
      <c r="AP1061" s="64"/>
      <c r="AQ1061" s="64"/>
      <c r="AR1061" s="21"/>
      <c r="AS1061" s="21"/>
      <c r="AT1061" s="21"/>
      <c r="AU1061" s="22"/>
      <c r="AV1061" s="21"/>
      <c r="AW1061" s="21"/>
      <c r="AX1061" s="21"/>
      <c r="AY1061" s="21"/>
      <c r="AZ1061" s="21"/>
      <c r="BA1061" s="21"/>
      <c r="BB1061" s="21"/>
      <c r="BC1061" s="21"/>
      <c r="BD1061" s="21"/>
      <c r="BE1061" s="21"/>
      <c r="BF1061" s="21"/>
      <c r="BG1061" s="21"/>
    </row>
    <row r="1062" spans="38:59">
      <c r="AL1062" s="21"/>
      <c r="AM1062" s="24"/>
      <c r="AN1062" s="21"/>
      <c r="AO1062" s="21"/>
      <c r="AP1062" s="64"/>
      <c r="AQ1062" s="64"/>
      <c r="AR1062" s="21"/>
      <c r="AS1062" s="21"/>
      <c r="AT1062" s="21"/>
      <c r="AU1062" s="22"/>
      <c r="AV1062" s="21"/>
      <c r="AW1062" s="21"/>
      <c r="AX1062" s="21"/>
      <c r="AY1062" s="21"/>
      <c r="AZ1062" s="21"/>
      <c r="BA1062" s="21"/>
      <c r="BB1062" s="21"/>
      <c r="BC1062" s="21"/>
      <c r="BD1062" s="21"/>
      <c r="BE1062" s="21"/>
      <c r="BF1062" s="21"/>
      <c r="BG1062" s="21"/>
    </row>
    <row r="1063" spans="38:59">
      <c r="AL1063" s="21"/>
      <c r="AM1063" s="24"/>
      <c r="AN1063" s="21"/>
      <c r="AO1063" s="21"/>
      <c r="AP1063" s="64"/>
      <c r="AQ1063" s="64"/>
      <c r="AR1063" s="21"/>
      <c r="AS1063" s="21"/>
      <c r="AT1063" s="21"/>
      <c r="AU1063" s="22"/>
      <c r="AV1063" s="21"/>
      <c r="AW1063" s="21"/>
      <c r="AX1063" s="21"/>
      <c r="AY1063" s="21"/>
      <c r="AZ1063" s="21"/>
      <c r="BA1063" s="21"/>
      <c r="BB1063" s="21"/>
      <c r="BC1063" s="21"/>
      <c r="BD1063" s="21"/>
      <c r="BE1063" s="21"/>
      <c r="BF1063" s="21"/>
      <c r="BG1063" s="21"/>
    </row>
    <row r="1064" spans="38:59">
      <c r="AL1064" s="21"/>
      <c r="AM1064" s="24"/>
      <c r="AN1064" s="21"/>
      <c r="AO1064" s="21"/>
      <c r="AP1064" s="64"/>
      <c r="AQ1064" s="64"/>
      <c r="AR1064" s="21"/>
      <c r="AS1064" s="21"/>
      <c r="AT1064" s="21"/>
      <c r="AU1064" s="22"/>
      <c r="AV1064" s="21"/>
      <c r="AW1064" s="21"/>
      <c r="AX1064" s="21"/>
      <c r="AY1064" s="21"/>
      <c r="AZ1064" s="21"/>
      <c r="BA1064" s="21"/>
      <c r="BB1064" s="21"/>
      <c r="BC1064" s="21"/>
      <c r="BD1064" s="21"/>
      <c r="BE1064" s="21"/>
      <c r="BF1064" s="21"/>
      <c r="BG1064" s="21"/>
    </row>
    <row r="1065" spans="38:59">
      <c r="AL1065" s="21"/>
      <c r="AM1065" s="24"/>
      <c r="AN1065" s="21"/>
      <c r="AO1065" s="21"/>
      <c r="AP1065" s="64"/>
      <c r="AQ1065" s="64"/>
      <c r="AR1065" s="21"/>
      <c r="AS1065" s="21"/>
      <c r="AT1065" s="21"/>
      <c r="AU1065" s="22"/>
      <c r="AV1065" s="21"/>
      <c r="AW1065" s="21"/>
      <c r="AX1065" s="21"/>
      <c r="AY1065" s="21"/>
      <c r="AZ1065" s="21"/>
      <c r="BA1065" s="21"/>
      <c r="BB1065" s="21"/>
      <c r="BC1065" s="21"/>
      <c r="BD1065" s="21"/>
      <c r="BE1065" s="21"/>
      <c r="BF1065" s="21"/>
      <c r="BG1065" s="21"/>
    </row>
    <row r="1066" spans="38:59">
      <c r="AL1066" s="21"/>
      <c r="AM1066" s="24"/>
      <c r="AN1066" s="21"/>
      <c r="AO1066" s="21"/>
      <c r="AP1066" s="64"/>
      <c r="AQ1066" s="64"/>
      <c r="AR1066" s="21"/>
      <c r="AS1066" s="21"/>
      <c r="AT1066" s="21"/>
      <c r="AU1066" s="22"/>
      <c r="AV1066" s="21"/>
      <c r="AW1066" s="21"/>
      <c r="AX1066" s="21"/>
      <c r="AY1066" s="21"/>
      <c r="AZ1066" s="21"/>
      <c r="BA1066" s="21"/>
      <c r="BB1066" s="21"/>
      <c r="BC1066" s="21"/>
      <c r="BD1066" s="21"/>
      <c r="BE1066" s="21"/>
      <c r="BF1066" s="21"/>
      <c r="BG1066" s="21"/>
    </row>
    <row r="1067" spans="38:59">
      <c r="AL1067" s="21"/>
      <c r="AM1067" s="24"/>
      <c r="AN1067" s="21"/>
      <c r="AO1067" s="21"/>
      <c r="AP1067" s="64"/>
      <c r="AQ1067" s="64"/>
      <c r="AR1067" s="21"/>
      <c r="AS1067" s="21"/>
      <c r="AT1067" s="21"/>
      <c r="AU1067" s="22"/>
      <c r="AV1067" s="21"/>
      <c r="AW1067" s="21"/>
      <c r="AX1067" s="21"/>
      <c r="AY1067" s="21"/>
      <c r="AZ1067" s="21"/>
      <c r="BA1067" s="21"/>
      <c r="BB1067" s="21"/>
      <c r="BC1067" s="21"/>
      <c r="BD1067" s="21"/>
      <c r="BE1067" s="21"/>
      <c r="BF1067" s="21"/>
      <c r="BG1067" s="21"/>
    </row>
    <row r="1068" spans="38:59">
      <c r="AL1068" s="21"/>
      <c r="AM1068" s="24"/>
      <c r="AN1068" s="21"/>
      <c r="AO1068" s="21"/>
      <c r="AP1068" s="64"/>
      <c r="AQ1068" s="64"/>
      <c r="AR1068" s="21"/>
      <c r="AS1068" s="21"/>
      <c r="AT1068" s="21"/>
      <c r="AU1068" s="22"/>
      <c r="AV1068" s="21"/>
      <c r="AW1068" s="21"/>
      <c r="AX1068" s="21"/>
      <c r="AY1068" s="21"/>
      <c r="AZ1068" s="21"/>
      <c r="BA1068" s="21"/>
      <c r="BB1068" s="21"/>
      <c r="BC1068" s="21"/>
      <c r="BD1068" s="21"/>
      <c r="BE1068" s="21"/>
      <c r="BF1068" s="21"/>
      <c r="BG1068" s="21"/>
    </row>
    <row r="1069" spans="38:59">
      <c r="AL1069" s="21"/>
      <c r="AM1069" s="24"/>
      <c r="AN1069" s="21"/>
      <c r="AO1069" s="21"/>
      <c r="AP1069" s="64"/>
      <c r="AQ1069" s="64"/>
      <c r="AR1069" s="21"/>
      <c r="AS1069" s="21"/>
      <c r="AT1069" s="21"/>
      <c r="AU1069" s="22"/>
      <c r="AV1069" s="21"/>
      <c r="AW1069" s="21"/>
      <c r="AX1069" s="21"/>
      <c r="AY1069" s="21"/>
      <c r="AZ1069" s="21"/>
      <c r="BA1069" s="21"/>
      <c r="BB1069" s="21"/>
      <c r="BC1069" s="21"/>
      <c r="BD1069" s="21"/>
      <c r="BE1069" s="21"/>
      <c r="BF1069" s="21"/>
      <c r="BG1069" s="21"/>
    </row>
    <row r="1070" spans="38:59">
      <c r="AL1070" s="21"/>
      <c r="AM1070" s="24"/>
      <c r="AN1070" s="21"/>
      <c r="AO1070" s="21"/>
      <c r="AP1070" s="64"/>
      <c r="AQ1070" s="64"/>
      <c r="AR1070" s="21"/>
      <c r="AS1070" s="21"/>
      <c r="AT1070" s="21"/>
      <c r="AU1070" s="22"/>
      <c r="AV1070" s="21"/>
      <c r="AW1070" s="21"/>
      <c r="AX1070" s="21"/>
      <c r="AY1070" s="21"/>
      <c r="AZ1070" s="21"/>
      <c r="BA1070" s="21"/>
      <c r="BB1070" s="21"/>
      <c r="BC1070" s="21"/>
      <c r="BD1070" s="21"/>
      <c r="BE1070" s="21"/>
      <c r="BF1070" s="21"/>
      <c r="BG1070" s="21"/>
    </row>
    <row r="1071" spans="38:59">
      <c r="AL1071" s="21"/>
      <c r="AM1071" s="24"/>
      <c r="AN1071" s="21"/>
      <c r="AO1071" s="21"/>
      <c r="AP1071" s="64"/>
      <c r="AQ1071" s="64"/>
      <c r="AR1071" s="21"/>
      <c r="AS1071" s="21"/>
      <c r="AT1071" s="21"/>
      <c r="AU1071" s="22"/>
      <c r="AV1071" s="21"/>
      <c r="AW1071" s="21"/>
      <c r="AX1071" s="21"/>
      <c r="AY1071" s="21"/>
      <c r="AZ1071" s="21"/>
      <c r="BA1071" s="21"/>
      <c r="BB1071" s="21"/>
      <c r="BC1071" s="21"/>
      <c r="BD1071" s="21"/>
      <c r="BE1071" s="21"/>
      <c r="BF1071" s="21"/>
      <c r="BG1071" s="21"/>
    </row>
    <row r="1072" spans="38:59">
      <c r="AL1072" s="21"/>
      <c r="AM1072" s="24"/>
      <c r="AN1072" s="21"/>
      <c r="AO1072" s="21"/>
      <c r="AP1072" s="64"/>
      <c r="AQ1072" s="64"/>
      <c r="AR1072" s="21"/>
      <c r="AS1072" s="21"/>
      <c r="AT1072" s="21"/>
      <c r="AU1072" s="22"/>
      <c r="AV1072" s="21"/>
      <c r="AW1072" s="21"/>
      <c r="AX1072" s="21"/>
      <c r="AY1072" s="21"/>
      <c r="AZ1072" s="21"/>
      <c r="BA1072" s="21"/>
      <c r="BB1072" s="21"/>
      <c r="BC1072" s="21"/>
      <c r="BD1072" s="21"/>
      <c r="BE1072" s="21"/>
      <c r="BF1072" s="21"/>
      <c r="BG1072" s="21"/>
    </row>
    <row r="1073" spans="38:59">
      <c r="AL1073" s="21"/>
      <c r="AM1073" s="24"/>
      <c r="AN1073" s="21"/>
      <c r="AO1073" s="21"/>
      <c r="AP1073" s="64"/>
      <c r="AQ1073" s="64"/>
      <c r="AR1073" s="21"/>
      <c r="AS1073" s="21"/>
      <c r="AT1073" s="21"/>
      <c r="AU1073" s="22"/>
      <c r="AV1073" s="21"/>
      <c r="AW1073" s="21"/>
      <c r="AX1073" s="21"/>
      <c r="AY1073" s="21"/>
      <c r="AZ1073" s="21"/>
      <c r="BA1073" s="21"/>
      <c r="BB1073" s="21"/>
      <c r="BC1073" s="21"/>
      <c r="BD1073" s="21"/>
      <c r="BE1073" s="21"/>
      <c r="BF1073" s="21"/>
      <c r="BG1073" s="21"/>
    </row>
    <row r="1074" spans="38:59">
      <c r="AL1074" s="21"/>
      <c r="AM1074" s="24"/>
      <c r="AN1074" s="21"/>
      <c r="AO1074" s="21"/>
      <c r="AP1074" s="64"/>
      <c r="AQ1074" s="64"/>
      <c r="AR1074" s="21"/>
      <c r="AS1074" s="21"/>
      <c r="AT1074" s="21"/>
      <c r="AU1074" s="22"/>
      <c r="AV1074" s="21"/>
      <c r="AW1074" s="21"/>
      <c r="AX1074" s="21"/>
      <c r="AY1074" s="21"/>
      <c r="AZ1074" s="21"/>
      <c r="BA1074" s="21"/>
      <c r="BB1074" s="21"/>
      <c r="BC1074" s="21"/>
      <c r="BD1074" s="21"/>
      <c r="BE1074" s="21"/>
      <c r="BF1074" s="21"/>
      <c r="BG1074" s="21"/>
    </row>
    <row r="1075" spans="38:59">
      <c r="AL1075" s="21"/>
      <c r="AM1075" s="24"/>
      <c r="AN1075" s="21"/>
      <c r="AO1075" s="21"/>
      <c r="AP1075" s="64"/>
      <c r="AQ1075" s="64"/>
      <c r="AR1075" s="21"/>
      <c r="AS1075" s="21"/>
      <c r="AT1075" s="21"/>
      <c r="AU1075" s="22"/>
      <c r="AV1075" s="21"/>
      <c r="AW1075" s="21"/>
      <c r="AX1075" s="21"/>
      <c r="AY1075" s="21"/>
      <c r="AZ1075" s="21"/>
      <c r="BA1075" s="21"/>
      <c r="BB1075" s="21"/>
      <c r="BC1075" s="21"/>
      <c r="BD1075" s="21"/>
      <c r="BE1075" s="21"/>
      <c r="BF1075" s="21"/>
      <c r="BG1075" s="21"/>
    </row>
    <row r="1076" spans="38:59">
      <c r="AL1076" s="21"/>
      <c r="AM1076" s="24"/>
      <c r="AN1076" s="21"/>
      <c r="AO1076" s="21"/>
      <c r="AP1076" s="64"/>
      <c r="AQ1076" s="64"/>
      <c r="AR1076" s="21"/>
      <c r="AS1076" s="21"/>
      <c r="AT1076" s="21"/>
      <c r="AU1076" s="22"/>
      <c r="AV1076" s="21"/>
      <c r="AW1076" s="21"/>
      <c r="AX1076" s="21"/>
      <c r="AY1076" s="21"/>
      <c r="AZ1076" s="21"/>
      <c r="BA1076" s="21"/>
      <c r="BB1076" s="21"/>
      <c r="BC1076" s="21"/>
      <c r="BD1076" s="21"/>
      <c r="BE1076" s="21"/>
      <c r="BF1076" s="21"/>
      <c r="BG1076" s="21"/>
    </row>
    <row r="1077" spans="38:59">
      <c r="AL1077" s="21"/>
      <c r="AM1077" s="24"/>
      <c r="AN1077" s="21"/>
      <c r="AO1077" s="21"/>
      <c r="AP1077" s="64"/>
      <c r="AQ1077" s="64"/>
      <c r="AR1077" s="21"/>
      <c r="AS1077" s="21"/>
      <c r="AT1077" s="21"/>
      <c r="AU1077" s="22"/>
      <c r="AV1077" s="21"/>
      <c r="AW1077" s="21"/>
      <c r="AX1077" s="21"/>
      <c r="AY1077" s="21"/>
      <c r="AZ1077" s="21"/>
      <c r="BA1077" s="21"/>
      <c r="BB1077" s="21"/>
      <c r="BC1077" s="21"/>
      <c r="BD1077" s="21"/>
      <c r="BE1077" s="21"/>
      <c r="BF1077" s="21"/>
      <c r="BG1077" s="21"/>
    </row>
    <row r="1078" spans="38:59">
      <c r="AL1078" s="21"/>
      <c r="AM1078" s="24"/>
      <c r="AN1078" s="21"/>
      <c r="AO1078" s="21"/>
      <c r="AP1078" s="64"/>
      <c r="AQ1078" s="64"/>
      <c r="AR1078" s="21"/>
      <c r="AS1078" s="21"/>
      <c r="AT1078" s="21"/>
      <c r="AU1078" s="22"/>
      <c r="AV1078" s="21"/>
      <c r="AW1078" s="21"/>
      <c r="AX1078" s="21"/>
      <c r="AY1078" s="21"/>
      <c r="AZ1078" s="21"/>
      <c r="BA1078" s="21"/>
      <c r="BB1078" s="21"/>
      <c r="BC1078" s="21"/>
      <c r="BD1078" s="21"/>
      <c r="BE1078" s="21"/>
      <c r="BF1078" s="21"/>
      <c r="BG1078" s="21"/>
    </row>
    <row r="1079" spans="38:59">
      <c r="AL1079" s="21"/>
      <c r="AM1079" s="24"/>
      <c r="AN1079" s="21"/>
      <c r="AO1079" s="21"/>
      <c r="AP1079" s="64"/>
      <c r="AQ1079" s="64"/>
      <c r="AR1079" s="21"/>
      <c r="AS1079" s="21"/>
      <c r="AT1079" s="21"/>
      <c r="AU1079" s="22"/>
      <c r="AV1079" s="21"/>
      <c r="AW1079" s="21"/>
      <c r="AX1079" s="21"/>
      <c r="AY1079" s="21"/>
      <c r="AZ1079" s="21"/>
      <c r="BA1079" s="21"/>
      <c r="BB1079" s="21"/>
      <c r="BC1079" s="21"/>
      <c r="BD1079" s="21"/>
      <c r="BE1079" s="21"/>
      <c r="BF1079" s="21"/>
      <c r="BG1079" s="21"/>
    </row>
    <row r="1080" spans="38:59">
      <c r="AL1080" s="21"/>
      <c r="AM1080" s="24"/>
      <c r="AN1080" s="21"/>
      <c r="AO1080" s="21"/>
      <c r="AP1080" s="64"/>
      <c r="AQ1080" s="64"/>
      <c r="AR1080" s="21"/>
      <c r="AS1080" s="21"/>
      <c r="AT1080" s="21"/>
      <c r="AU1080" s="22"/>
      <c r="AV1080" s="21"/>
      <c r="AW1080" s="21"/>
      <c r="AX1080" s="21"/>
      <c r="AY1080" s="21"/>
      <c r="AZ1080" s="21"/>
      <c r="BA1080" s="21"/>
      <c r="BB1080" s="21"/>
      <c r="BC1080" s="21"/>
      <c r="BD1080" s="21"/>
      <c r="BE1080" s="21"/>
      <c r="BF1080" s="21"/>
      <c r="BG1080" s="21"/>
    </row>
    <row r="1081" spans="38:59">
      <c r="AL1081" s="21"/>
      <c r="AM1081" s="24"/>
      <c r="AN1081" s="21"/>
      <c r="AO1081" s="21"/>
      <c r="AP1081" s="64"/>
      <c r="AQ1081" s="64"/>
      <c r="AR1081" s="21"/>
      <c r="AS1081" s="21"/>
      <c r="AT1081" s="21"/>
      <c r="AU1081" s="22"/>
      <c r="AV1081" s="21"/>
      <c r="AW1081" s="21"/>
      <c r="AX1081" s="21"/>
      <c r="AY1081" s="21"/>
      <c r="AZ1081" s="21"/>
      <c r="BA1081" s="21"/>
      <c r="BB1081" s="21"/>
      <c r="BC1081" s="21"/>
      <c r="BD1081" s="21"/>
      <c r="BE1081" s="21"/>
      <c r="BF1081" s="21"/>
      <c r="BG1081" s="21"/>
    </row>
    <row r="1082" spans="38:59">
      <c r="AL1082" s="21"/>
      <c r="AM1082" s="24"/>
      <c r="AN1082" s="21"/>
      <c r="AO1082" s="21"/>
      <c r="AP1082" s="64"/>
      <c r="AQ1082" s="64"/>
      <c r="AR1082" s="21"/>
      <c r="AS1082" s="21"/>
      <c r="AT1082" s="21"/>
      <c r="AU1082" s="22"/>
      <c r="AV1082" s="21"/>
      <c r="AW1082" s="21"/>
      <c r="AX1082" s="21"/>
      <c r="AY1082" s="21"/>
      <c r="AZ1082" s="21"/>
      <c r="BA1082" s="21"/>
      <c r="BB1082" s="21"/>
      <c r="BC1082" s="21"/>
      <c r="BD1082" s="21"/>
      <c r="BE1082" s="21"/>
      <c r="BF1082" s="21"/>
      <c r="BG1082" s="21"/>
    </row>
    <row r="1083" spans="38:59">
      <c r="AL1083" s="21"/>
      <c r="AM1083" s="24"/>
      <c r="AN1083" s="21"/>
      <c r="AO1083" s="21"/>
      <c r="AP1083" s="64"/>
      <c r="AQ1083" s="64"/>
      <c r="AR1083" s="21"/>
      <c r="AS1083" s="21"/>
      <c r="AT1083" s="21"/>
      <c r="AU1083" s="22"/>
      <c r="AV1083" s="21"/>
      <c r="AW1083" s="21"/>
      <c r="AX1083" s="21"/>
      <c r="AY1083" s="21"/>
      <c r="AZ1083" s="21"/>
      <c r="BA1083" s="21"/>
      <c r="BB1083" s="21"/>
      <c r="BC1083" s="21"/>
      <c r="BD1083" s="21"/>
      <c r="BE1083" s="21"/>
      <c r="BF1083" s="21"/>
      <c r="BG1083" s="21"/>
    </row>
    <row r="1084" spans="38:59">
      <c r="AL1084" s="21"/>
      <c r="AM1084" s="24"/>
      <c r="AN1084" s="21"/>
      <c r="AO1084" s="21"/>
      <c r="AP1084" s="64"/>
      <c r="AQ1084" s="64"/>
      <c r="AR1084" s="21"/>
      <c r="AS1084" s="21"/>
      <c r="AT1084" s="21"/>
      <c r="AU1084" s="22"/>
      <c r="AV1084" s="21"/>
      <c r="AW1084" s="21"/>
      <c r="AX1084" s="21"/>
      <c r="AY1084" s="21"/>
      <c r="AZ1084" s="21"/>
      <c r="BA1084" s="21"/>
      <c r="BB1084" s="21"/>
      <c r="BC1084" s="21"/>
      <c r="BD1084" s="21"/>
      <c r="BE1084" s="21"/>
      <c r="BF1084" s="21"/>
      <c r="BG1084" s="21"/>
    </row>
    <row r="1085" spans="38:59">
      <c r="AL1085" s="21"/>
      <c r="AM1085" s="24"/>
      <c r="AN1085" s="21"/>
      <c r="AO1085" s="21"/>
      <c r="AP1085" s="64"/>
      <c r="AQ1085" s="64"/>
      <c r="AR1085" s="21"/>
      <c r="AS1085" s="21"/>
      <c r="AT1085" s="21"/>
      <c r="AU1085" s="22"/>
      <c r="AV1085" s="21"/>
      <c r="AW1085" s="21"/>
      <c r="AX1085" s="21"/>
      <c r="AY1085" s="21"/>
      <c r="AZ1085" s="21"/>
      <c r="BA1085" s="21"/>
      <c r="BB1085" s="21"/>
      <c r="BC1085" s="21"/>
      <c r="BD1085" s="21"/>
      <c r="BE1085" s="21"/>
      <c r="BF1085" s="21"/>
      <c r="BG1085" s="21"/>
    </row>
    <row r="1086" spans="38:59">
      <c r="AL1086" s="21"/>
      <c r="AM1086" s="24"/>
      <c r="AN1086" s="21"/>
      <c r="AO1086" s="21"/>
      <c r="AP1086" s="64"/>
      <c r="AQ1086" s="64"/>
      <c r="AR1086" s="21"/>
      <c r="AS1086" s="21"/>
      <c r="AT1086" s="21"/>
      <c r="AU1086" s="22"/>
      <c r="AV1086" s="21"/>
      <c r="AW1086" s="21"/>
      <c r="AX1086" s="21"/>
      <c r="AY1086" s="21"/>
      <c r="AZ1086" s="21"/>
      <c r="BA1086" s="21"/>
      <c r="BB1086" s="21"/>
      <c r="BC1086" s="21"/>
      <c r="BD1086" s="21"/>
      <c r="BE1086" s="21"/>
      <c r="BF1086" s="21"/>
      <c r="BG1086" s="21"/>
    </row>
    <row r="1087" spans="38:59">
      <c r="AL1087" s="21"/>
      <c r="AM1087" s="24"/>
      <c r="AN1087" s="21"/>
      <c r="AO1087" s="21"/>
      <c r="AP1087" s="64"/>
      <c r="AQ1087" s="64"/>
      <c r="AR1087" s="21"/>
      <c r="AS1087" s="21"/>
      <c r="AT1087" s="21"/>
      <c r="AU1087" s="22"/>
      <c r="AV1087" s="21"/>
      <c r="AW1087" s="21"/>
      <c r="AX1087" s="21"/>
      <c r="AY1087" s="21"/>
      <c r="AZ1087" s="21"/>
      <c r="BA1087" s="21"/>
      <c r="BB1087" s="21"/>
      <c r="BC1087" s="21"/>
      <c r="BD1087" s="21"/>
      <c r="BE1087" s="21"/>
      <c r="BF1087" s="21"/>
      <c r="BG1087" s="21"/>
    </row>
    <row r="1088" spans="38:59">
      <c r="AL1088" s="21"/>
      <c r="AM1088" s="24"/>
      <c r="AN1088" s="21"/>
      <c r="AO1088" s="21"/>
      <c r="AP1088" s="64"/>
      <c r="AQ1088" s="64"/>
      <c r="AR1088" s="21"/>
      <c r="AS1088" s="21"/>
      <c r="AT1088" s="21"/>
      <c r="AU1088" s="22"/>
      <c r="AV1088" s="21"/>
      <c r="AW1088" s="21"/>
      <c r="AX1088" s="21"/>
      <c r="AY1088" s="21"/>
      <c r="AZ1088" s="21"/>
      <c r="BA1088" s="21"/>
      <c r="BB1088" s="21"/>
      <c r="BC1088" s="21"/>
      <c r="BD1088" s="21"/>
      <c r="BE1088" s="21"/>
      <c r="BF1088" s="21"/>
      <c r="BG1088" s="21"/>
    </row>
    <row r="1089" spans="38:59">
      <c r="AL1089" s="21"/>
      <c r="AM1089" s="24"/>
      <c r="AN1089" s="21"/>
      <c r="AO1089" s="21"/>
      <c r="AP1089" s="64"/>
      <c r="AQ1089" s="64"/>
      <c r="AR1089" s="21"/>
      <c r="AS1089" s="21"/>
      <c r="AT1089" s="21"/>
      <c r="AU1089" s="22"/>
      <c r="AV1089" s="21"/>
      <c r="AW1089" s="21"/>
      <c r="AX1089" s="21"/>
      <c r="AY1089" s="21"/>
      <c r="AZ1089" s="21"/>
      <c r="BA1089" s="21"/>
      <c r="BB1089" s="21"/>
      <c r="BC1089" s="21"/>
      <c r="BD1089" s="21"/>
      <c r="BE1089" s="21"/>
      <c r="BF1089" s="21"/>
      <c r="BG1089" s="21"/>
    </row>
    <row r="1090" spans="38:59">
      <c r="AL1090" s="21"/>
      <c r="AM1090" s="24"/>
      <c r="AN1090" s="21"/>
      <c r="AO1090" s="21"/>
      <c r="AP1090" s="64"/>
      <c r="AQ1090" s="64"/>
      <c r="AR1090" s="21"/>
      <c r="AS1090" s="21"/>
      <c r="AT1090" s="21"/>
      <c r="AU1090" s="22"/>
      <c r="AV1090" s="21"/>
      <c r="AW1090" s="21"/>
      <c r="AX1090" s="21"/>
      <c r="AY1090" s="21"/>
      <c r="AZ1090" s="21"/>
      <c r="BA1090" s="21"/>
      <c r="BB1090" s="21"/>
      <c r="BC1090" s="21"/>
      <c r="BD1090" s="21"/>
      <c r="BE1090" s="21"/>
      <c r="BF1090" s="21"/>
      <c r="BG1090" s="21"/>
    </row>
    <row r="1091" spans="38:59">
      <c r="AL1091" s="21"/>
      <c r="AM1091" s="24"/>
      <c r="AN1091" s="21"/>
      <c r="AO1091" s="21"/>
      <c r="AP1091" s="64"/>
      <c r="AQ1091" s="64"/>
      <c r="AR1091" s="21"/>
      <c r="AS1091" s="21"/>
      <c r="AT1091" s="21"/>
      <c r="AU1091" s="22"/>
      <c r="AV1091" s="21"/>
      <c r="AW1091" s="21"/>
      <c r="AX1091" s="21"/>
      <c r="AY1091" s="21"/>
      <c r="AZ1091" s="21"/>
      <c r="BA1091" s="21"/>
      <c r="BB1091" s="21"/>
      <c r="BC1091" s="21"/>
      <c r="BD1091" s="21"/>
      <c r="BE1091" s="21"/>
      <c r="BF1091" s="21"/>
      <c r="BG1091" s="21"/>
    </row>
    <row r="1092" spans="38:59">
      <c r="AL1092" s="21"/>
      <c r="AM1092" s="24"/>
      <c r="AN1092" s="21"/>
      <c r="AO1092" s="21"/>
      <c r="AP1092" s="64"/>
      <c r="AQ1092" s="64"/>
      <c r="AR1092" s="21"/>
      <c r="AS1092" s="21"/>
      <c r="AT1092" s="21"/>
      <c r="AU1092" s="22"/>
      <c r="AV1092" s="21"/>
      <c r="AW1092" s="21"/>
      <c r="AX1092" s="21"/>
      <c r="AY1092" s="21"/>
      <c r="AZ1092" s="21"/>
      <c r="BA1092" s="21"/>
      <c r="BB1092" s="21"/>
      <c r="BC1092" s="21"/>
      <c r="BD1092" s="21"/>
      <c r="BE1092" s="21"/>
      <c r="BF1092" s="21"/>
      <c r="BG1092" s="21"/>
    </row>
    <row r="1093" spans="38:59">
      <c r="AL1093" s="21"/>
      <c r="AM1093" s="24"/>
      <c r="AN1093" s="21"/>
      <c r="AO1093" s="21"/>
      <c r="AP1093" s="64"/>
      <c r="AQ1093" s="64"/>
      <c r="AR1093" s="21"/>
      <c r="AS1093" s="21"/>
      <c r="AT1093" s="21"/>
      <c r="AU1093" s="22"/>
      <c r="AV1093" s="21"/>
      <c r="AW1093" s="21"/>
      <c r="AX1093" s="21"/>
      <c r="AY1093" s="21"/>
      <c r="AZ1093" s="21"/>
      <c r="BA1093" s="21"/>
      <c r="BB1093" s="21"/>
      <c r="BC1093" s="21"/>
      <c r="BD1093" s="21"/>
      <c r="BE1093" s="21"/>
      <c r="BF1093" s="21"/>
      <c r="BG1093" s="21"/>
    </row>
    <row r="1094" spans="38:59">
      <c r="AL1094" s="21"/>
      <c r="AM1094" s="24"/>
      <c r="AN1094" s="21"/>
      <c r="AO1094" s="21"/>
      <c r="AP1094" s="64"/>
      <c r="AQ1094" s="64"/>
      <c r="AR1094" s="21"/>
      <c r="AS1094" s="21"/>
      <c r="AT1094" s="21"/>
      <c r="AU1094" s="22"/>
      <c r="AV1094" s="21"/>
      <c r="AW1094" s="21"/>
      <c r="AX1094" s="21"/>
      <c r="AY1094" s="21"/>
      <c r="AZ1094" s="21"/>
      <c r="BA1094" s="21"/>
      <c r="BB1094" s="21"/>
      <c r="BC1094" s="21"/>
      <c r="BD1094" s="21"/>
      <c r="BE1094" s="21"/>
      <c r="BF1094" s="21"/>
      <c r="BG1094" s="21"/>
    </row>
    <row r="1095" spans="38:59">
      <c r="AL1095" s="21"/>
      <c r="AM1095" s="24"/>
      <c r="AN1095" s="21"/>
      <c r="AO1095" s="21"/>
      <c r="AP1095" s="64"/>
      <c r="AQ1095" s="64"/>
      <c r="AR1095" s="21"/>
      <c r="AS1095" s="21"/>
      <c r="AT1095" s="21"/>
      <c r="AU1095" s="22"/>
      <c r="AV1095" s="21"/>
      <c r="AW1095" s="21"/>
      <c r="AX1095" s="21"/>
      <c r="AY1095" s="21"/>
      <c r="AZ1095" s="21"/>
      <c r="BA1095" s="21"/>
      <c r="BB1095" s="21"/>
      <c r="BC1095" s="21"/>
      <c r="BD1095" s="21"/>
      <c r="BE1095" s="21"/>
      <c r="BF1095" s="21"/>
      <c r="BG1095" s="21"/>
    </row>
    <row r="1096" spans="38:59">
      <c r="AL1096" s="21"/>
      <c r="AM1096" s="24"/>
      <c r="AN1096" s="21"/>
      <c r="AO1096" s="21"/>
      <c r="AP1096" s="64"/>
      <c r="AQ1096" s="64"/>
      <c r="AR1096" s="21"/>
      <c r="AS1096" s="21"/>
      <c r="AT1096" s="21"/>
      <c r="AU1096" s="22"/>
      <c r="AV1096" s="21"/>
      <c r="AW1096" s="21"/>
      <c r="AX1096" s="21"/>
      <c r="AY1096" s="21"/>
      <c r="AZ1096" s="21"/>
      <c r="BA1096" s="21"/>
      <c r="BB1096" s="21"/>
      <c r="BC1096" s="21"/>
      <c r="BD1096" s="21"/>
      <c r="BE1096" s="21"/>
      <c r="BF1096" s="21"/>
      <c r="BG1096" s="21"/>
    </row>
    <row r="1097" spans="38:59">
      <c r="AL1097" s="21"/>
      <c r="AM1097" s="24"/>
      <c r="AN1097" s="21"/>
      <c r="AO1097" s="21"/>
      <c r="AP1097" s="64"/>
      <c r="AQ1097" s="64"/>
      <c r="AR1097" s="21"/>
      <c r="AS1097" s="21"/>
      <c r="AT1097" s="21"/>
      <c r="AU1097" s="22"/>
      <c r="AV1097" s="21"/>
      <c r="AW1097" s="21"/>
      <c r="AX1097" s="21"/>
      <c r="AY1097" s="21"/>
      <c r="AZ1097" s="21"/>
      <c r="BA1097" s="21"/>
      <c r="BB1097" s="21"/>
      <c r="BC1097" s="21"/>
      <c r="BD1097" s="21"/>
      <c r="BE1097" s="21"/>
      <c r="BF1097" s="21"/>
      <c r="BG1097" s="21"/>
    </row>
    <row r="1098" spans="38:59">
      <c r="AL1098" s="21"/>
      <c r="AM1098" s="24"/>
      <c r="AN1098" s="21"/>
      <c r="AO1098" s="21"/>
      <c r="AP1098" s="64"/>
      <c r="AQ1098" s="64"/>
      <c r="AR1098" s="21"/>
      <c r="AS1098" s="21"/>
      <c r="AT1098" s="21"/>
      <c r="AU1098" s="22"/>
      <c r="AV1098" s="21"/>
      <c r="AW1098" s="21"/>
      <c r="AX1098" s="21"/>
      <c r="AY1098" s="21"/>
      <c r="AZ1098" s="21"/>
      <c r="BA1098" s="21"/>
      <c r="BB1098" s="21"/>
      <c r="BC1098" s="21"/>
      <c r="BD1098" s="21"/>
      <c r="BE1098" s="21"/>
      <c r="BF1098" s="21"/>
      <c r="BG1098" s="21"/>
    </row>
    <row r="1099" spans="38:59">
      <c r="AL1099" s="21"/>
      <c r="AM1099" s="24"/>
      <c r="AN1099" s="21"/>
      <c r="AO1099" s="21"/>
      <c r="AP1099" s="64"/>
      <c r="AQ1099" s="64"/>
      <c r="AR1099" s="21"/>
      <c r="AS1099" s="21"/>
      <c r="AT1099" s="21"/>
      <c r="AU1099" s="22"/>
      <c r="AV1099" s="21"/>
      <c r="AW1099" s="21"/>
      <c r="AX1099" s="21"/>
      <c r="AY1099" s="21"/>
      <c r="AZ1099" s="21"/>
      <c r="BA1099" s="21"/>
      <c r="BB1099" s="21"/>
      <c r="BC1099" s="21"/>
      <c r="BD1099" s="21"/>
      <c r="BE1099" s="21"/>
      <c r="BF1099" s="21"/>
      <c r="BG1099" s="21"/>
    </row>
    <row r="1100" spans="38:59">
      <c r="AL1100" s="21"/>
      <c r="AM1100" s="24"/>
      <c r="AN1100" s="21"/>
      <c r="AO1100" s="21"/>
      <c r="AP1100" s="64"/>
      <c r="AQ1100" s="64"/>
      <c r="AR1100" s="21"/>
      <c r="AS1100" s="21"/>
      <c r="AT1100" s="21"/>
      <c r="AU1100" s="22"/>
      <c r="AV1100" s="21"/>
      <c r="AW1100" s="21"/>
      <c r="AX1100" s="21"/>
      <c r="AY1100" s="21"/>
      <c r="AZ1100" s="21"/>
      <c r="BA1100" s="21"/>
      <c r="BB1100" s="21"/>
      <c r="BC1100" s="21"/>
      <c r="BD1100" s="21"/>
      <c r="BE1100" s="21"/>
      <c r="BF1100" s="21"/>
      <c r="BG1100" s="21"/>
    </row>
    <row r="1101" spans="38:59">
      <c r="AL1101" s="21"/>
      <c r="AM1101" s="24"/>
      <c r="AN1101" s="21"/>
      <c r="AO1101" s="21"/>
      <c r="AP1101" s="64"/>
      <c r="AQ1101" s="64"/>
      <c r="AR1101" s="21"/>
      <c r="AS1101" s="21"/>
      <c r="AT1101" s="21"/>
      <c r="AU1101" s="22"/>
      <c r="AV1101" s="21"/>
      <c r="AW1101" s="21"/>
      <c r="AX1101" s="21"/>
      <c r="AY1101" s="21"/>
      <c r="AZ1101" s="21"/>
      <c r="BA1101" s="21"/>
      <c r="BB1101" s="21"/>
      <c r="BC1101" s="21"/>
      <c r="BD1101" s="21"/>
      <c r="BE1101" s="21"/>
      <c r="BF1101" s="21"/>
      <c r="BG1101" s="21"/>
    </row>
    <row r="1102" spans="38:59">
      <c r="AL1102" s="21"/>
      <c r="AM1102" s="24"/>
      <c r="AN1102" s="21"/>
      <c r="AO1102" s="21"/>
      <c r="AP1102" s="64"/>
      <c r="AQ1102" s="64"/>
      <c r="AR1102" s="21"/>
      <c r="AS1102" s="21"/>
      <c r="AT1102" s="21"/>
      <c r="AU1102" s="22"/>
      <c r="AV1102" s="21"/>
      <c r="AW1102" s="21"/>
      <c r="AX1102" s="21"/>
      <c r="AY1102" s="21"/>
      <c r="AZ1102" s="21"/>
      <c r="BA1102" s="21"/>
      <c r="BB1102" s="21"/>
      <c r="BC1102" s="21"/>
      <c r="BD1102" s="21"/>
      <c r="BE1102" s="21"/>
      <c r="BF1102" s="21"/>
      <c r="BG1102" s="21"/>
    </row>
    <row r="1103" spans="38:59">
      <c r="AL1103" s="21"/>
      <c r="AM1103" s="24"/>
      <c r="AN1103" s="21"/>
      <c r="AO1103" s="21"/>
      <c r="AP1103" s="64"/>
      <c r="AQ1103" s="64"/>
      <c r="AR1103" s="21"/>
      <c r="AS1103" s="21"/>
      <c r="AT1103" s="21"/>
      <c r="AU1103" s="22"/>
      <c r="AV1103" s="21"/>
      <c r="AW1103" s="21"/>
      <c r="AX1103" s="21"/>
      <c r="AY1103" s="21"/>
      <c r="AZ1103" s="21"/>
      <c r="BA1103" s="21"/>
      <c r="BB1103" s="21"/>
      <c r="BC1103" s="21"/>
      <c r="BD1103" s="21"/>
      <c r="BE1103" s="21"/>
      <c r="BF1103" s="21"/>
      <c r="BG1103" s="21"/>
    </row>
    <row r="1104" spans="38:59">
      <c r="AL1104" s="21"/>
      <c r="AM1104" s="24"/>
      <c r="AN1104" s="21"/>
      <c r="AO1104" s="21"/>
      <c r="AP1104" s="64"/>
      <c r="AQ1104" s="64"/>
      <c r="AR1104" s="21"/>
      <c r="AS1104" s="21"/>
      <c r="AT1104" s="21"/>
      <c r="AU1104" s="22"/>
      <c r="AV1104" s="21"/>
      <c r="AW1104" s="21"/>
      <c r="AX1104" s="21"/>
      <c r="AY1104" s="21"/>
      <c r="AZ1104" s="21"/>
      <c r="BA1104" s="21"/>
      <c r="BB1104" s="21"/>
      <c r="BC1104" s="21"/>
      <c r="BD1104" s="21"/>
      <c r="BE1104" s="21"/>
      <c r="BF1104" s="21"/>
      <c r="BG1104" s="21"/>
    </row>
    <row r="1105" spans="38:59">
      <c r="AL1105" s="21"/>
      <c r="AM1105" s="24"/>
      <c r="AN1105" s="21"/>
      <c r="AO1105" s="21"/>
      <c r="AP1105" s="64"/>
      <c r="AQ1105" s="64"/>
      <c r="AR1105" s="21"/>
      <c r="AS1105" s="21"/>
      <c r="AT1105" s="21"/>
      <c r="AU1105" s="22"/>
      <c r="AV1105" s="21"/>
      <c r="AW1105" s="21"/>
      <c r="AX1105" s="21"/>
      <c r="AY1105" s="21"/>
      <c r="AZ1105" s="21"/>
      <c r="BA1105" s="21"/>
      <c r="BB1105" s="21"/>
      <c r="BC1105" s="21"/>
      <c r="BD1105" s="21"/>
      <c r="BE1105" s="21"/>
      <c r="BF1105" s="21"/>
      <c r="BG1105" s="21"/>
    </row>
    <row r="1106" spans="38:59">
      <c r="AL1106" s="21"/>
      <c r="AM1106" s="24"/>
      <c r="AN1106" s="21"/>
      <c r="AO1106" s="21"/>
      <c r="AP1106" s="64"/>
      <c r="AQ1106" s="64"/>
      <c r="AR1106" s="21"/>
      <c r="AS1106" s="21"/>
      <c r="AT1106" s="21"/>
      <c r="AU1106" s="22"/>
      <c r="AV1106" s="21"/>
      <c r="AW1106" s="21"/>
      <c r="AX1106" s="21"/>
      <c r="AY1106" s="21"/>
      <c r="AZ1106" s="21"/>
      <c r="BA1106" s="21"/>
      <c r="BB1106" s="21"/>
      <c r="BC1106" s="21"/>
      <c r="BD1106" s="21"/>
      <c r="BE1106" s="21"/>
      <c r="BF1106" s="21"/>
      <c r="BG1106" s="21"/>
    </row>
    <row r="1107" spans="38:59">
      <c r="AL1107" s="21"/>
      <c r="AM1107" s="24"/>
      <c r="AN1107" s="21"/>
      <c r="AO1107" s="21"/>
      <c r="AP1107" s="64"/>
      <c r="AQ1107" s="64"/>
      <c r="AR1107" s="21"/>
      <c r="AS1107" s="21"/>
      <c r="AT1107" s="21"/>
      <c r="AU1107" s="22"/>
      <c r="AV1107" s="21"/>
      <c r="AW1107" s="21"/>
      <c r="AX1107" s="21"/>
      <c r="AY1107" s="21"/>
      <c r="AZ1107" s="21"/>
      <c r="BA1107" s="21"/>
      <c r="BB1107" s="21"/>
      <c r="BC1107" s="21"/>
      <c r="BD1107" s="21"/>
      <c r="BE1107" s="21"/>
      <c r="BF1107" s="21"/>
      <c r="BG1107" s="21"/>
    </row>
    <row r="1108" spans="38:59">
      <c r="AL1108" s="21"/>
      <c r="AM1108" s="24"/>
      <c r="AN1108" s="21"/>
      <c r="AO1108" s="21"/>
      <c r="AP1108" s="64"/>
      <c r="AQ1108" s="64"/>
      <c r="AR1108" s="21"/>
      <c r="AS1108" s="21"/>
      <c r="AT1108" s="21"/>
      <c r="AU1108" s="22"/>
      <c r="AV1108" s="21"/>
      <c r="AW1108" s="21"/>
      <c r="AX1108" s="21"/>
      <c r="AY1108" s="21"/>
      <c r="AZ1108" s="21"/>
      <c r="BA1108" s="21"/>
      <c r="BB1108" s="21"/>
      <c r="BC1108" s="21"/>
      <c r="BD1108" s="21"/>
      <c r="BE1108" s="21"/>
      <c r="BF1108" s="21"/>
      <c r="BG1108" s="21"/>
    </row>
    <row r="1109" spans="38:59">
      <c r="AL1109" s="21"/>
      <c r="AM1109" s="24"/>
      <c r="AN1109" s="21"/>
      <c r="AO1109" s="21"/>
      <c r="AP1109" s="64"/>
      <c r="AQ1109" s="64"/>
      <c r="AR1109" s="21"/>
      <c r="AS1109" s="21"/>
      <c r="AT1109" s="21"/>
      <c r="AU1109" s="22"/>
      <c r="AV1109" s="21"/>
      <c r="AW1109" s="21"/>
      <c r="AX1109" s="21"/>
      <c r="AY1109" s="21"/>
      <c r="AZ1109" s="21"/>
      <c r="BA1109" s="21"/>
      <c r="BB1109" s="21"/>
      <c r="BC1109" s="21"/>
      <c r="BD1109" s="21"/>
      <c r="BE1109" s="21"/>
      <c r="BF1109" s="21"/>
      <c r="BG1109" s="21"/>
    </row>
    <row r="1110" spans="38:59">
      <c r="AL1110" s="21"/>
      <c r="AM1110" s="24"/>
      <c r="AN1110" s="21"/>
      <c r="AO1110" s="21"/>
      <c r="AP1110" s="64"/>
      <c r="AQ1110" s="64"/>
      <c r="AR1110" s="21"/>
      <c r="AS1110" s="21"/>
      <c r="AT1110" s="21"/>
      <c r="AU1110" s="22"/>
      <c r="AV1110" s="21"/>
      <c r="AW1110" s="21"/>
      <c r="AX1110" s="21"/>
      <c r="AY1110" s="21"/>
      <c r="AZ1110" s="21"/>
      <c r="BA1110" s="21"/>
      <c r="BB1110" s="21"/>
      <c r="BC1110" s="21"/>
      <c r="BD1110" s="21"/>
      <c r="BE1110" s="21"/>
      <c r="BF1110" s="21"/>
      <c r="BG1110" s="21"/>
    </row>
    <row r="1111" spans="38:59">
      <c r="AL1111" s="21"/>
      <c r="AM1111" s="24"/>
      <c r="AN1111" s="21"/>
      <c r="AO1111" s="21"/>
      <c r="AP1111" s="64"/>
      <c r="AQ1111" s="64"/>
      <c r="AR1111" s="21"/>
      <c r="AS1111" s="21"/>
      <c r="AT1111" s="21"/>
      <c r="AU1111" s="22"/>
      <c r="AV1111" s="21"/>
      <c r="AW1111" s="21"/>
      <c r="AX1111" s="21"/>
      <c r="AY1111" s="21"/>
      <c r="AZ1111" s="21"/>
      <c r="BA1111" s="21"/>
      <c r="BB1111" s="21"/>
      <c r="BC1111" s="21"/>
      <c r="BD1111" s="21"/>
      <c r="BE1111" s="21"/>
      <c r="BF1111" s="21"/>
      <c r="BG1111" s="21"/>
    </row>
    <row r="1112" spans="38:59">
      <c r="AL1112" s="21"/>
      <c r="AM1112" s="24"/>
      <c r="AN1112" s="21"/>
      <c r="AO1112" s="21"/>
      <c r="AP1112" s="64"/>
      <c r="AQ1112" s="64"/>
      <c r="AR1112" s="21"/>
      <c r="AS1112" s="21"/>
      <c r="AT1112" s="21"/>
      <c r="AU1112" s="22"/>
      <c r="AV1112" s="21"/>
      <c r="AW1112" s="21"/>
      <c r="AX1112" s="21"/>
      <c r="AY1112" s="21"/>
      <c r="AZ1112" s="21"/>
      <c r="BA1112" s="21"/>
      <c r="BB1112" s="21"/>
      <c r="BC1112" s="21"/>
      <c r="BD1112" s="21"/>
      <c r="BE1112" s="21"/>
      <c r="BF1112" s="21"/>
      <c r="BG1112" s="21"/>
    </row>
    <row r="1113" spans="38:59">
      <c r="AL1113" s="21"/>
      <c r="AM1113" s="24"/>
      <c r="AN1113" s="21"/>
      <c r="AO1113" s="21"/>
      <c r="AP1113" s="64"/>
      <c r="AQ1113" s="64"/>
      <c r="AR1113" s="21"/>
      <c r="AS1113" s="21"/>
      <c r="AT1113" s="21"/>
      <c r="AU1113" s="22"/>
      <c r="AV1113" s="21"/>
      <c r="AW1113" s="21"/>
      <c r="AX1113" s="21"/>
      <c r="AY1113" s="21"/>
      <c r="AZ1113" s="21"/>
      <c r="BA1113" s="21"/>
      <c r="BB1113" s="21"/>
      <c r="BC1113" s="21"/>
      <c r="BD1113" s="21"/>
      <c r="BE1113" s="21"/>
      <c r="BF1113" s="21"/>
      <c r="BG1113" s="21"/>
    </row>
    <row r="1114" spans="38:59">
      <c r="AL1114" s="21"/>
      <c r="AM1114" s="24"/>
      <c r="AN1114" s="21"/>
      <c r="AO1114" s="21"/>
      <c r="AP1114" s="64"/>
      <c r="AQ1114" s="64"/>
      <c r="AR1114" s="21"/>
      <c r="AS1114" s="21"/>
      <c r="AT1114" s="21"/>
      <c r="AU1114" s="22"/>
      <c r="AV1114" s="21"/>
      <c r="AW1114" s="21"/>
      <c r="AX1114" s="21"/>
      <c r="AY1114" s="21"/>
      <c r="AZ1114" s="21"/>
      <c r="BA1114" s="21"/>
      <c r="BB1114" s="21"/>
      <c r="BC1114" s="21"/>
      <c r="BD1114" s="21"/>
      <c r="BE1114" s="21"/>
      <c r="BF1114" s="21"/>
      <c r="BG1114" s="21"/>
    </row>
    <row r="1115" spans="38:59">
      <c r="AL1115" s="21"/>
      <c r="AM1115" s="24"/>
      <c r="AN1115" s="21"/>
      <c r="AO1115" s="21"/>
      <c r="AP1115" s="64"/>
      <c r="AQ1115" s="64"/>
      <c r="AR1115" s="21"/>
      <c r="AS1115" s="21"/>
      <c r="AT1115" s="21"/>
      <c r="AU1115" s="22"/>
      <c r="AV1115" s="21"/>
      <c r="AW1115" s="21"/>
      <c r="AX1115" s="21"/>
      <c r="AY1115" s="21"/>
      <c r="AZ1115" s="21"/>
      <c r="BA1115" s="21"/>
      <c r="BB1115" s="21"/>
      <c r="BC1115" s="21"/>
      <c r="BD1115" s="21"/>
      <c r="BE1115" s="21"/>
      <c r="BF1115" s="21"/>
      <c r="BG1115" s="21"/>
    </row>
    <row r="1116" spans="38:59">
      <c r="AL1116" s="21"/>
      <c r="AM1116" s="24"/>
      <c r="AN1116" s="21"/>
      <c r="AO1116" s="21"/>
      <c r="AP1116" s="64"/>
      <c r="AQ1116" s="64"/>
      <c r="AR1116" s="21"/>
      <c r="AS1116" s="21"/>
      <c r="AT1116" s="21"/>
      <c r="AU1116" s="22"/>
      <c r="AV1116" s="21"/>
      <c r="AW1116" s="21"/>
      <c r="AX1116" s="21"/>
      <c r="AY1116" s="21"/>
      <c r="AZ1116" s="21"/>
      <c r="BA1116" s="21"/>
      <c r="BB1116" s="21"/>
      <c r="BC1116" s="21"/>
      <c r="BD1116" s="21"/>
      <c r="BE1116" s="21"/>
      <c r="BF1116" s="21"/>
      <c r="BG1116" s="21"/>
    </row>
    <row r="1117" spans="38:59">
      <c r="AL1117" s="21"/>
      <c r="AM1117" s="24"/>
      <c r="AN1117" s="21"/>
      <c r="AO1117" s="21"/>
      <c r="AP1117" s="64"/>
      <c r="AQ1117" s="64"/>
      <c r="AR1117" s="21"/>
      <c r="AS1117" s="21"/>
      <c r="AT1117" s="21"/>
      <c r="AU1117" s="22"/>
      <c r="AV1117" s="21"/>
      <c r="AW1117" s="21"/>
      <c r="AX1117" s="21"/>
      <c r="AY1117" s="21"/>
      <c r="AZ1117" s="21"/>
      <c r="BA1117" s="21"/>
      <c r="BB1117" s="21"/>
      <c r="BC1117" s="21"/>
      <c r="BD1117" s="21"/>
      <c r="BE1117" s="21"/>
      <c r="BF1117" s="21"/>
      <c r="BG1117" s="21"/>
    </row>
    <row r="1118" spans="38:59">
      <c r="AL1118" s="21"/>
      <c r="AM1118" s="24"/>
      <c r="AN1118" s="21"/>
      <c r="AO1118" s="21"/>
      <c r="AP1118" s="64"/>
      <c r="AQ1118" s="64"/>
      <c r="AR1118" s="21"/>
      <c r="AS1118" s="21"/>
      <c r="AT1118" s="21"/>
      <c r="AU1118" s="22"/>
      <c r="AV1118" s="21"/>
      <c r="AW1118" s="21"/>
      <c r="AX1118" s="21"/>
      <c r="AY1118" s="21"/>
      <c r="AZ1118" s="21"/>
      <c r="BA1118" s="21"/>
      <c r="BB1118" s="21"/>
      <c r="BC1118" s="21"/>
      <c r="BD1118" s="21"/>
      <c r="BE1118" s="21"/>
      <c r="BF1118" s="21"/>
      <c r="BG1118" s="21"/>
    </row>
    <row r="1119" spans="38:59">
      <c r="AL1119" s="21"/>
      <c r="AM1119" s="24"/>
      <c r="AN1119" s="21"/>
      <c r="AO1119" s="21"/>
      <c r="AP1119" s="64"/>
      <c r="AQ1119" s="64"/>
      <c r="AR1119" s="21"/>
      <c r="AS1119" s="21"/>
      <c r="AT1119" s="21"/>
      <c r="AU1119" s="22"/>
      <c r="AV1119" s="21"/>
      <c r="AW1119" s="21"/>
      <c r="AX1119" s="21"/>
      <c r="AY1119" s="21"/>
      <c r="AZ1119" s="21"/>
      <c r="BA1119" s="21"/>
      <c r="BB1119" s="21"/>
      <c r="BC1119" s="21"/>
      <c r="BD1119" s="21"/>
      <c r="BE1119" s="21"/>
      <c r="BF1119" s="21"/>
      <c r="BG1119" s="21"/>
    </row>
    <row r="1120" spans="38:59">
      <c r="AL1120" s="21"/>
      <c r="AM1120" s="24"/>
      <c r="AN1120" s="21"/>
      <c r="AO1120" s="21"/>
      <c r="AP1120" s="64"/>
      <c r="AQ1120" s="64"/>
      <c r="AR1120" s="21"/>
      <c r="AS1120" s="21"/>
      <c r="AT1120" s="21"/>
      <c r="AU1120" s="22"/>
      <c r="AV1120" s="21"/>
      <c r="AW1120" s="21"/>
      <c r="AX1120" s="21"/>
      <c r="AY1120" s="21"/>
      <c r="AZ1120" s="21"/>
      <c r="BA1120" s="21"/>
      <c r="BB1120" s="21"/>
      <c r="BC1120" s="21"/>
      <c r="BD1120" s="21"/>
      <c r="BE1120" s="21"/>
      <c r="BF1120" s="21"/>
      <c r="BG1120" s="21"/>
    </row>
    <row r="1121" spans="38:59">
      <c r="AL1121" s="21"/>
      <c r="AM1121" s="24"/>
      <c r="AN1121" s="21"/>
      <c r="AO1121" s="21"/>
      <c r="AP1121" s="64"/>
      <c r="AQ1121" s="64"/>
      <c r="AR1121" s="21"/>
      <c r="AS1121" s="21"/>
      <c r="AT1121" s="21"/>
      <c r="AU1121" s="22"/>
      <c r="AV1121" s="21"/>
      <c r="AW1121" s="21"/>
      <c r="AX1121" s="21"/>
      <c r="AY1121" s="21"/>
      <c r="AZ1121" s="21"/>
      <c r="BA1121" s="21"/>
      <c r="BB1121" s="21"/>
      <c r="BC1121" s="21"/>
      <c r="BD1121" s="21"/>
      <c r="BE1121" s="21"/>
      <c r="BF1121" s="21"/>
      <c r="BG1121" s="21"/>
    </row>
    <row r="1122" spans="38:59">
      <c r="AL1122" s="21"/>
      <c r="AM1122" s="24"/>
      <c r="AN1122" s="21"/>
      <c r="AO1122" s="21"/>
      <c r="AP1122" s="64"/>
      <c r="AQ1122" s="64"/>
      <c r="AR1122" s="21"/>
      <c r="AS1122" s="21"/>
      <c r="AT1122" s="21"/>
      <c r="AU1122" s="22"/>
      <c r="AV1122" s="21"/>
      <c r="AW1122" s="21"/>
      <c r="AX1122" s="21"/>
      <c r="AY1122" s="21"/>
      <c r="AZ1122" s="21"/>
      <c r="BA1122" s="21"/>
      <c r="BB1122" s="21"/>
      <c r="BC1122" s="21"/>
      <c r="BD1122" s="21"/>
      <c r="BE1122" s="21"/>
      <c r="BF1122" s="21"/>
      <c r="BG1122" s="21"/>
    </row>
    <row r="1123" spans="38:59">
      <c r="AL1123" s="21"/>
      <c r="AM1123" s="24"/>
      <c r="AN1123" s="21"/>
      <c r="AO1123" s="21"/>
      <c r="AP1123" s="64"/>
      <c r="AQ1123" s="64"/>
      <c r="AR1123" s="21"/>
      <c r="AS1123" s="21"/>
      <c r="AT1123" s="21"/>
      <c r="AU1123" s="22"/>
      <c r="AV1123" s="21"/>
      <c r="AW1123" s="21"/>
      <c r="AX1123" s="21"/>
      <c r="AY1123" s="21"/>
      <c r="AZ1123" s="21"/>
      <c r="BA1123" s="21"/>
      <c r="BB1123" s="21"/>
      <c r="BC1123" s="21"/>
      <c r="BD1123" s="21"/>
      <c r="BE1123" s="21"/>
      <c r="BF1123" s="21"/>
      <c r="BG1123" s="21"/>
    </row>
    <row r="1124" spans="38:59">
      <c r="AL1124" s="21"/>
      <c r="AM1124" s="24"/>
      <c r="AN1124" s="21"/>
      <c r="AO1124" s="21"/>
      <c r="AP1124" s="64"/>
      <c r="AQ1124" s="64"/>
      <c r="AR1124" s="21"/>
      <c r="AS1124" s="21"/>
      <c r="AT1124" s="21"/>
      <c r="AU1124" s="22"/>
      <c r="AV1124" s="21"/>
      <c r="AW1124" s="21"/>
      <c r="AX1124" s="21"/>
      <c r="AY1124" s="21"/>
      <c r="AZ1124" s="21"/>
      <c r="BA1124" s="21"/>
      <c r="BB1124" s="21"/>
      <c r="BC1124" s="21"/>
      <c r="BD1124" s="21"/>
      <c r="BE1124" s="21"/>
      <c r="BF1124" s="21"/>
      <c r="BG1124" s="21"/>
    </row>
    <row r="1125" spans="38:59">
      <c r="AL1125" s="21"/>
      <c r="AM1125" s="24"/>
      <c r="AN1125" s="21"/>
      <c r="AO1125" s="21"/>
      <c r="AP1125" s="64"/>
      <c r="AQ1125" s="64"/>
      <c r="AR1125" s="21"/>
      <c r="AS1125" s="21"/>
      <c r="AT1125" s="21"/>
      <c r="AU1125" s="22"/>
      <c r="AV1125" s="21"/>
      <c r="AW1125" s="21"/>
      <c r="AX1125" s="21"/>
      <c r="AY1125" s="21"/>
      <c r="AZ1125" s="21"/>
      <c r="BA1125" s="21"/>
      <c r="BB1125" s="21"/>
      <c r="BC1125" s="21"/>
      <c r="BD1125" s="21"/>
      <c r="BE1125" s="21"/>
      <c r="BF1125" s="21"/>
      <c r="BG1125" s="21"/>
    </row>
    <row r="1126" spans="38:59">
      <c r="AL1126" s="21"/>
      <c r="AM1126" s="24"/>
      <c r="AN1126" s="21"/>
      <c r="AO1126" s="21"/>
      <c r="AP1126" s="64"/>
      <c r="AQ1126" s="64"/>
      <c r="AR1126" s="21"/>
      <c r="AS1126" s="21"/>
      <c r="AT1126" s="21"/>
      <c r="AU1126" s="22"/>
      <c r="AV1126" s="21"/>
      <c r="AW1126" s="21"/>
      <c r="AX1126" s="21"/>
      <c r="AY1126" s="21"/>
      <c r="AZ1126" s="21"/>
      <c r="BA1126" s="21"/>
      <c r="BB1126" s="21"/>
      <c r="BC1126" s="21"/>
      <c r="BD1126" s="21"/>
      <c r="BE1126" s="21"/>
      <c r="BF1126" s="21"/>
      <c r="BG1126" s="21"/>
    </row>
    <row r="1127" spans="38:59">
      <c r="AL1127" s="21"/>
      <c r="AM1127" s="24"/>
      <c r="AN1127" s="21"/>
      <c r="AO1127" s="21"/>
      <c r="AP1127" s="64"/>
      <c r="AQ1127" s="64"/>
      <c r="AR1127" s="21"/>
      <c r="AS1127" s="21"/>
      <c r="AT1127" s="21"/>
      <c r="AU1127" s="22"/>
      <c r="AV1127" s="21"/>
      <c r="AW1127" s="21"/>
      <c r="AX1127" s="21"/>
      <c r="AY1127" s="21"/>
      <c r="AZ1127" s="21"/>
      <c r="BA1127" s="21"/>
      <c r="BB1127" s="21"/>
      <c r="BC1127" s="21"/>
      <c r="BD1127" s="21"/>
      <c r="BE1127" s="21"/>
      <c r="BF1127" s="21"/>
      <c r="BG1127" s="21"/>
    </row>
    <row r="1128" spans="38:59">
      <c r="AL1128" s="21"/>
      <c r="AM1128" s="24"/>
      <c r="AN1128" s="21"/>
      <c r="AO1128" s="21"/>
      <c r="AP1128" s="64"/>
      <c r="AQ1128" s="64"/>
      <c r="AR1128" s="21"/>
      <c r="AS1128" s="21"/>
      <c r="AT1128" s="21"/>
      <c r="AU1128" s="22"/>
      <c r="AV1128" s="21"/>
      <c r="AW1128" s="21"/>
      <c r="AX1128" s="21"/>
      <c r="AY1128" s="21"/>
      <c r="AZ1128" s="21"/>
      <c r="BA1128" s="21"/>
      <c r="BB1128" s="21"/>
      <c r="BC1128" s="21"/>
      <c r="BD1128" s="21"/>
      <c r="BE1128" s="21"/>
      <c r="BF1128" s="21"/>
      <c r="BG1128" s="21"/>
    </row>
    <row r="1129" spans="38:59">
      <c r="AL1129" s="21"/>
      <c r="AM1129" s="24"/>
      <c r="AN1129" s="21"/>
      <c r="AO1129" s="21"/>
      <c r="AP1129" s="64"/>
      <c r="AQ1129" s="64"/>
      <c r="AR1129" s="21"/>
      <c r="AS1129" s="21"/>
      <c r="AT1129" s="21"/>
      <c r="AU1129" s="22"/>
      <c r="AV1129" s="21"/>
      <c r="AW1129" s="21"/>
      <c r="AX1129" s="21"/>
      <c r="AY1129" s="21"/>
      <c r="AZ1129" s="21"/>
      <c r="BA1129" s="21"/>
      <c r="BB1129" s="21"/>
      <c r="BC1129" s="21"/>
      <c r="BD1129" s="21"/>
      <c r="BE1129" s="21"/>
      <c r="BF1129" s="21"/>
      <c r="BG1129" s="21"/>
    </row>
    <row r="1130" spans="38:59">
      <c r="AL1130" s="21"/>
      <c r="AM1130" s="24"/>
      <c r="AN1130" s="21"/>
      <c r="AO1130" s="21"/>
      <c r="AP1130" s="64"/>
      <c r="AQ1130" s="64"/>
      <c r="AR1130" s="21"/>
      <c r="AS1130" s="21"/>
      <c r="AT1130" s="21"/>
      <c r="AU1130" s="22"/>
      <c r="AV1130" s="21"/>
      <c r="AW1130" s="21"/>
      <c r="AX1130" s="21"/>
      <c r="AY1130" s="21"/>
      <c r="AZ1130" s="21"/>
      <c r="BA1130" s="21"/>
      <c r="BB1130" s="21"/>
      <c r="BC1130" s="21"/>
      <c r="BD1130" s="21"/>
      <c r="BE1130" s="21"/>
      <c r="BF1130" s="21"/>
      <c r="BG1130" s="21"/>
    </row>
    <row r="1131" spans="38:59">
      <c r="AL1131" s="21"/>
      <c r="AM1131" s="24"/>
      <c r="AN1131" s="21"/>
      <c r="AO1131" s="21"/>
      <c r="AP1131" s="64"/>
      <c r="AQ1131" s="64"/>
      <c r="AR1131" s="21"/>
      <c r="AS1131" s="21"/>
      <c r="AT1131" s="21"/>
      <c r="AU1131" s="22"/>
      <c r="AV1131" s="21"/>
      <c r="AW1131" s="21"/>
      <c r="AX1131" s="21"/>
      <c r="AY1131" s="21"/>
      <c r="AZ1131" s="21"/>
      <c r="BA1131" s="21"/>
      <c r="BB1131" s="21"/>
      <c r="BC1131" s="21"/>
      <c r="BD1131" s="21"/>
      <c r="BE1131" s="21"/>
      <c r="BF1131" s="21"/>
      <c r="BG1131" s="21"/>
    </row>
    <row r="1132" spans="38:59">
      <c r="AL1132" s="21"/>
      <c r="AM1132" s="24"/>
      <c r="AN1132" s="21"/>
      <c r="AO1132" s="21"/>
      <c r="AP1132" s="64"/>
      <c r="AQ1132" s="64"/>
      <c r="AR1132" s="21"/>
      <c r="AS1132" s="21"/>
      <c r="AT1132" s="21"/>
      <c r="AU1132" s="22"/>
      <c r="AV1132" s="21"/>
      <c r="AW1132" s="21"/>
      <c r="AX1132" s="21"/>
      <c r="AY1132" s="21"/>
      <c r="AZ1132" s="21"/>
      <c r="BA1132" s="21"/>
      <c r="BB1132" s="21"/>
      <c r="BC1132" s="21"/>
      <c r="BD1132" s="21"/>
      <c r="BE1132" s="21"/>
      <c r="BF1132" s="21"/>
      <c r="BG1132" s="21"/>
    </row>
    <row r="1133" spans="38:59">
      <c r="AL1133" s="21"/>
      <c r="AM1133" s="24"/>
      <c r="AN1133" s="21"/>
      <c r="AO1133" s="21"/>
      <c r="AP1133" s="64"/>
      <c r="AQ1133" s="64"/>
      <c r="AR1133" s="21"/>
      <c r="AS1133" s="21"/>
      <c r="AT1133" s="21"/>
      <c r="AU1133" s="22"/>
      <c r="AV1133" s="21"/>
      <c r="AW1133" s="21"/>
      <c r="AX1133" s="21"/>
      <c r="AY1133" s="21"/>
      <c r="AZ1133" s="21"/>
      <c r="BA1133" s="21"/>
      <c r="BB1133" s="21"/>
      <c r="BC1133" s="21"/>
      <c r="BD1133" s="21"/>
      <c r="BE1133" s="21"/>
      <c r="BF1133" s="21"/>
      <c r="BG1133" s="21"/>
    </row>
    <row r="1134" spans="38:59">
      <c r="AL1134" s="21"/>
      <c r="AM1134" s="24"/>
      <c r="AN1134" s="21"/>
      <c r="AO1134" s="21"/>
      <c r="AP1134" s="64"/>
      <c r="AQ1134" s="64"/>
      <c r="AR1134" s="21"/>
      <c r="AS1134" s="21"/>
      <c r="AT1134" s="21"/>
      <c r="AU1134" s="22"/>
      <c r="AV1134" s="21"/>
      <c r="AW1134" s="21"/>
      <c r="AX1134" s="21"/>
      <c r="AY1134" s="21"/>
      <c r="AZ1134" s="21"/>
      <c r="BA1134" s="21"/>
      <c r="BB1134" s="21"/>
      <c r="BC1134" s="21"/>
      <c r="BD1134" s="21"/>
      <c r="BE1134" s="21"/>
      <c r="BF1134" s="21"/>
      <c r="BG1134" s="21"/>
    </row>
    <row r="1135" spans="38:59">
      <c r="AL1135" s="21"/>
      <c r="AM1135" s="24"/>
      <c r="AN1135" s="21"/>
      <c r="AO1135" s="21"/>
      <c r="AP1135" s="64"/>
      <c r="AQ1135" s="64"/>
      <c r="AR1135" s="21"/>
      <c r="AS1135" s="21"/>
      <c r="AT1135" s="21"/>
      <c r="AU1135" s="22"/>
      <c r="AV1135" s="21"/>
      <c r="AW1135" s="21"/>
      <c r="AX1135" s="21"/>
      <c r="AY1135" s="21"/>
      <c r="AZ1135" s="21"/>
      <c r="BA1135" s="21"/>
      <c r="BB1135" s="21"/>
      <c r="BC1135" s="21"/>
      <c r="BD1135" s="21"/>
      <c r="BE1135" s="21"/>
      <c r="BF1135" s="21"/>
      <c r="BG1135" s="21"/>
    </row>
    <row r="1136" spans="38:59">
      <c r="AL1136" s="21"/>
      <c r="AM1136" s="24"/>
      <c r="AN1136" s="21"/>
      <c r="AO1136" s="21"/>
      <c r="AP1136" s="64"/>
      <c r="AQ1136" s="64"/>
      <c r="AR1136" s="21"/>
      <c r="AS1136" s="21"/>
      <c r="AT1136" s="21"/>
      <c r="AU1136" s="22"/>
      <c r="AV1136" s="21"/>
      <c r="AW1136" s="21"/>
      <c r="AX1136" s="21"/>
      <c r="AY1136" s="21"/>
      <c r="AZ1136" s="21"/>
      <c r="BA1136" s="21"/>
      <c r="BB1136" s="21"/>
      <c r="BC1136" s="21"/>
      <c r="BD1136" s="21"/>
      <c r="BE1136" s="21"/>
      <c r="BF1136" s="21"/>
      <c r="BG1136" s="21"/>
    </row>
    <row r="1137" spans="38:59">
      <c r="AL1137" s="21"/>
      <c r="AM1137" s="24"/>
      <c r="AN1137" s="21"/>
      <c r="AO1137" s="21"/>
      <c r="AP1137" s="64"/>
      <c r="AQ1137" s="64"/>
      <c r="AR1137" s="21"/>
      <c r="AS1137" s="21"/>
      <c r="AT1137" s="21"/>
      <c r="AU1137" s="22"/>
      <c r="AV1137" s="21"/>
      <c r="AW1137" s="21"/>
      <c r="AX1137" s="21"/>
      <c r="AY1137" s="21"/>
      <c r="AZ1137" s="21"/>
      <c r="BA1137" s="21"/>
      <c r="BB1137" s="21"/>
      <c r="BC1137" s="21"/>
      <c r="BD1137" s="21"/>
      <c r="BE1137" s="21"/>
      <c r="BF1137" s="21"/>
      <c r="BG1137" s="21"/>
    </row>
    <row r="1138" spans="38:59">
      <c r="AL1138" s="21"/>
      <c r="AM1138" s="24"/>
      <c r="AN1138" s="21"/>
      <c r="AO1138" s="21"/>
      <c r="AP1138" s="64"/>
      <c r="AQ1138" s="64"/>
      <c r="AR1138" s="21"/>
      <c r="AS1138" s="21"/>
      <c r="AT1138" s="21"/>
      <c r="AU1138" s="22"/>
      <c r="AV1138" s="21"/>
      <c r="AW1138" s="21"/>
      <c r="AX1138" s="21"/>
      <c r="AY1138" s="21"/>
      <c r="AZ1138" s="21"/>
      <c r="BA1138" s="21"/>
      <c r="BB1138" s="21"/>
      <c r="BC1138" s="21"/>
      <c r="BD1138" s="21"/>
      <c r="BE1138" s="21"/>
      <c r="BF1138" s="21"/>
      <c r="BG1138" s="21"/>
    </row>
    <row r="1139" spans="38:59">
      <c r="AL1139" s="21"/>
      <c r="AM1139" s="24"/>
      <c r="AN1139" s="21"/>
      <c r="AO1139" s="21"/>
      <c r="AP1139" s="64"/>
      <c r="AQ1139" s="64"/>
      <c r="AR1139" s="21"/>
      <c r="AS1139" s="21"/>
      <c r="AT1139" s="21"/>
      <c r="AU1139" s="22"/>
      <c r="AV1139" s="21"/>
      <c r="AW1139" s="21"/>
      <c r="AX1139" s="21"/>
      <c r="AY1139" s="21"/>
      <c r="AZ1139" s="21"/>
      <c r="BA1139" s="21"/>
      <c r="BB1139" s="21"/>
      <c r="BC1139" s="21"/>
      <c r="BD1139" s="21"/>
      <c r="BE1139" s="21"/>
      <c r="BF1139" s="21"/>
      <c r="BG1139" s="21"/>
    </row>
    <row r="1140" spans="38:59">
      <c r="AL1140" s="21"/>
      <c r="AM1140" s="24"/>
      <c r="AN1140" s="21"/>
      <c r="AO1140" s="21"/>
      <c r="AP1140" s="64"/>
      <c r="AQ1140" s="64"/>
      <c r="AR1140" s="21"/>
      <c r="AS1140" s="21"/>
      <c r="AT1140" s="21"/>
      <c r="AU1140" s="22"/>
      <c r="AV1140" s="21"/>
      <c r="AW1140" s="21"/>
      <c r="AX1140" s="21"/>
      <c r="AY1140" s="21"/>
      <c r="AZ1140" s="21"/>
      <c r="BA1140" s="21"/>
      <c r="BB1140" s="21"/>
      <c r="BC1140" s="21"/>
      <c r="BD1140" s="21"/>
      <c r="BE1140" s="21"/>
      <c r="BF1140" s="21"/>
      <c r="BG1140" s="21"/>
    </row>
    <row r="1141" spans="38:59">
      <c r="AL1141" s="21"/>
      <c r="AM1141" s="24"/>
      <c r="AN1141" s="21"/>
      <c r="AO1141" s="21"/>
      <c r="AP1141" s="64"/>
      <c r="AQ1141" s="64"/>
      <c r="AR1141" s="21"/>
      <c r="AS1141" s="21"/>
      <c r="AT1141" s="21"/>
      <c r="AU1141" s="22"/>
      <c r="AV1141" s="21"/>
      <c r="AW1141" s="21"/>
      <c r="AX1141" s="21"/>
      <c r="AY1141" s="21"/>
      <c r="AZ1141" s="21"/>
      <c r="BA1141" s="21"/>
      <c r="BB1141" s="21"/>
      <c r="BC1141" s="21"/>
      <c r="BD1141" s="21"/>
      <c r="BE1141" s="21"/>
      <c r="BF1141" s="21"/>
      <c r="BG1141" s="21"/>
    </row>
    <row r="1142" spans="38:59">
      <c r="AL1142" s="21"/>
      <c r="AM1142" s="24"/>
      <c r="AN1142" s="21"/>
      <c r="AO1142" s="21"/>
      <c r="AP1142" s="64"/>
      <c r="AQ1142" s="64"/>
      <c r="AR1142" s="21"/>
      <c r="AS1142" s="21"/>
      <c r="AT1142" s="21"/>
      <c r="AU1142" s="22"/>
      <c r="AV1142" s="21"/>
      <c r="AW1142" s="21"/>
      <c r="AX1142" s="21"/>
      <c r="AY1142" s="21"/>
      <c r="AZ1142" s="21"/>
      <c r="BA1142" s="21"/>
      <c r="BB1142" s="21"/>
      <c r="BC1142" s="21"/>
      <c r="BD1142" s="21"/>
      <c r="BE1142" s="21"/>
      <c r="BF1142" s="21"/>
      <c r="BG1142" s="21"/>
    </row>
    <row r="1143" spans="38:59">
      <c r="AL1143" s="21"/>
      <c r="AM1143" s="24"/>
      <c r="AN1143" s="21"/>
      <c r="AO1143" s="21"/>
      <c r="AP1143" s="64"/>
      <c r="AQ1143" s="64"/>
      <c r="AR1143" s="21"/>
      <c r="AS1143" s="21"/>
      <c r="AT1143" s="21"/>
      <c r="AU1143" s="22"/>
      <c r="AV1143" s="21"/>
      <c r="AW1143" s="21"/>
      <c r="AX1143" s="21"/>
      <c r="AY1143" s="21"/>
      <c r="AZ1143" s="21"/>
      <c r="BA1143" s="21"/>
      <c r="BB1143" s="21"/>
      <c r="BC1143" s="21"/>
      <c r="BD1143" s="21"/>
      <c r="BE1143" s="21"/>
      <c r="BF1143" s="21"/>
      <c r="BG1143" s="21"/>
    </row>
    <row r="1144" spans="38:59">
      <c r="AL1144" s="21"/>
      <c r="AM1144" s="24"/>
      <c r="AN1144" s="21"/>
      <c r="AO1144" s="21"/>
      <c r="AP1144" s="64"/>
      <c r="AQ1144" s="64"/>
      <c r="AR1144" s="21"/>
      <c r="AS1144" s="21"/>
      <c r="AT1144" s="21"/>
      <c r="AU1144" s="22"/>
      <c r="AV1144" s="21"/>
      <c r="AW1144" s="21"/>
      <c r="AX1144" s="21"/>
      <c r="AY1144" s="21"/>
      <c r="AZ1144" s="21"/>
      <c r="BA1144" s="21"/>
      <c r="BB1144" s="21"/>
      <c r="BC1144" s="21"/>
      <c r="BD1144" s="21"/>
      <c r="BE1144" s="21"/>
      <c r="BF1144" s="21"/>
      <c r="BG1144" s="21"/>
    </row>
    <row r="1145" spans="38:59">
      <c r="AL1145" s="21"/>
      <c r="AM1145" s="24"/>
      <c r="AN1145" s="21"/>
      <c r="AO1145" s="21"/>
      <c r="AP1145" s="64"/>
      <c r="AQ1145" s="64"/>
      <c r="AR1145" s="21"/>
      <c r="AS1145" s="21"/>
      <c r="AT1145" s="21"/>
      <c r="AU1145" s="22"/>
      <c r="AV1145" s="21"/>
      <c r="AW1145" s="21"/>
      <c r="AX1145" s="21"/>
      <c r="AY1145" s="21"/>
      <c r="AZ1145" s="21"/>
      <c r="BA1145" s="21"/>
      <c r="BB1145" s="21"/>
      <c r="BC1145" s="21"/>
      <c r="BD1145" s="21"/>
      <c r="BE1145" s="21"/>
      <c r="BF1145" s="21"/>
      <c r="BG1145" s="21"/>
    </row>
    <row r="1146" spans="38:59">
      <c r="AL1146" s="21"/>
      <c r="AM1146" s="24"/>
      <c r="AN1146" s="21"/>
      <c r="AO1146" s="21"/>
      <c r="AP1146" s="64"/>
      <c r="AQ1146" s="64"/>
      <c r="AR1146" s="21"/>
      <c r="AS1146" s="21"/>
      <c r="AT1146" s="21"/>
      <c r="AU1146" s="22"/>
      <c r="AV1146" s="21"/>
      <c r="AW1146" s="21"/>
      <c r="AX1146" s="21"/>
      <c r="AY1146" s="21"/>
      <c r="AZ1146" s="21"/>
      <c r="BA1146" s="21"/>
      <c r="BB1146" s="21"/>
      <c r="BC1146" s="21"/>
      <c r="BD1146" s="21"/>
      <c r="BE1146" s="21"/>
      <c r="BF1146" s="21"/>
      <c r="BG1146" s="21"/>
    </row>
    <row r="1147" spans="38:59">
      <c r="AL1147" s="21"/>
      <c r="AM1147" s="24"/>
      <c r="AN1147" s="21"/>
      <c r="AO1147" s="21"/>
      <c r="AP1147" s="64"/>
      <c r="AQ1147" s="64"/>
      <c r="AR1147" s="21"/>
      <c r="AS1147" s="21"/>
      <c r="AT1147" s="21"/>
      <c r="AU1147" s="22"/>
      <c r="AV1147" s="21"/>
      <c r="AW1147" s="21"/>
      <c r="AX1147" s="21"/>
      <c r="AY1147" s="21"/>
      <c r="AZ1147" s="21"/>
      <c r="BA1147" s="21"/>
      <c r="BB1147" s="21"/>
      <c r="BC1147" s="21"/>
      <c r="BD1147" s="21"/>
      <c r="BE1147" s="21"/>
      <c r="BF1147" s="21"/>
      <c r="BG1147" s="21"/>
    </row>
    <row r="1148" spans="38:59">
      <c r="AL1148" s="21"/>
      <c r="AM1148" s="24"/>
      <c r="AN1148" s="21"/>
      <c r="AO1148" s="21"/>
      <c r="AP1148" s="64"/>
      <c r="AQ1148" s="64"/>
      <c r="AR1148" s="21"/>
      <c r="AS1148" s="21"/>
      <c r="AT1148" s="21"/>
      <c r="AU1148" s="22"/>
      <c r="AV1148" s="21"/>
      <c r="AW1148" s="21"/>
      <c r="AX1148" s="21"/>
      <c r="AY1148" s="21"/>
      <c r="AZ1148" s="21"/>
      <c r="BA1148" s="21"/>
      <c r="BB1148" s="21"/>
      <c r="BC1148" s="21"/>
      <c r="BD1148" s="21"/>
      <c r="BE1148" s="21"/>
      <c r="BF1148" s="21"/>
      <c r="BG1148" s="21"/>
    </row>
    <row r="1149" spans="38:59">
      <c r="AL1149" s="21"/>
      <c r="AM1149" s="24"/>
      <c r="AN1149" s="21"/>
      <c r="AO1149" s="21"/>
      <c r="AP1149" s="64"/>
      <c r="AQ1149" s="64"/>
      <c r="AR1149" s="21"/>
      <c r="AS1149" s="21"/>
      <c r="AT1149" s="21"/>
      <c r="AU1149" s="22"/>
      <c r="AV1149" s="21"/>
      <c r="AW1149" s="21"/>
      <c r="AX1149" s="21"/>
      <c r="AY1149" s="21"/>
      <c r="AZ1149" s="21"/>
      <c r="BA1149" s="21"/>
      <c r="BB1149" s="21"/>
      <c r="BC1149" s="21"/>
      <c r="BD1149" s="21"/>
      <c r="BE1149" s="21"/>
      <c r="BF1149" s="21"/>
      <c r="BG1149" s="21"/>
    </row>
    <row r="1150" spans="38:59">
      <c r="AL1150" s="21"/>
      <c r="AM1150" s="24"/>
      <c r="AN1150" s="21"/>
      <c r="AO1150" s="21"/>
      <c r="AP1150" s="64"/>
      <c r="AQ1150" s="64"/>
      <c r="AR1150" s="21"/>
      <c r="AS1150" s="21"/>
      <c r="AT1150" s="21"/>
      <c r="AU1150" s="22"/>
      <c r="AV1150" s="21"/>
      <c r="AW1150" s="21"/>
      <c r="AX1150" s="21"/>
      <c r="AY1150" s="21"/>
      <c r="AZ1150" s="21"/>
      <c r="BA1150" s="21"/>
      <c r="BB1150" s="21"/>
      <c r="BC1150" s="21"/>
      <c r="BD1150" s="21"/>
      <c r="BE1150" s="21"/>
      <c r="BF1150" s="21"/>
      <c r="BG1150" s="21"/>
    </row>
    <row r="1151" spans="38:59">
      <c r="AL1151" s="21"/>
      <c r="AM1151" s="24"/>
      <c r="AN1151" s="21"/>
      <c r="AO1151" s="21"/>
      <c r="AP1151" s="64"/>
      <c r="AQ1151" s="64"/>
      <c r="AR1151" s="21"/>
      <c r="AS1151" s="21"/>
      <c r="AT1151" s="21"/>
      <c r="AU1151" s="22"/>
      <c r="AV1151" s="21"/>
      <c r="AW1151" s="21"/>
      <c r="AX1151" s="21"/>
      <c r="AY1151" s="21"/>
      <c r="AZ1151" s="21"/>
      <c r="BA1151" s="21"/>
      <c r="BB1151" s="21"/>
      <c r="BC1151" s="21"/>
      <c r="BD1151" s="21"/>
      <c r="BE1151" s="21"/>
      <c r="BF1151" s="21"/>
      <c r="BG1151" s="21"/>
    </row>
    <row r="1152" spans="38:59">
      <c r="AL1152" s="21"/>
      <c r="AM1152" s="24"/>
      <c r="AN1152" s="21"/>
      <c r="AO1152" s="21"/>
      <c r="AP1152" s="64"/>
      <c r="AQ1152" s="64"/>
      <c r="AR1152" s="21"/>
      <c r="AS1152" s="21"/>
      <c r="AT1152" s="21"/>
      <c r="AU1152" s="22"/>
      <c r="AV1152" s="21"/>
      <c r="AW1152" s="21"/>
      <c r="AX1152" s="21"/>
      <c r="AY1152" s="21"/>
      <c r="AZ1152" s="21"/>
      <c r="BA1152" s="21"/>
      <c r="BB1152" s="21"/>
      <c r="BC1152" s="21"/>
      <c r="BD1152" s="21"/>
      <c r="BE1152" s="21"/>
      <c r="BF1152" s="21"/>
      <c r="BG1152" s="21"/>
    </row>
    <row r="1153" spans="38:59">
      <c r="AL1153" s="21"/>
      <c r="AM1153" s="24"/>
      <c r="AN1153" s="21"/>
      <c r="AO1153" s="21"/>
      <c r="AP1153" s="64"/>
      <c r="AQ1153" s="64"/>
      <c r="AR1153" s="21"/>
      <c r="AS1153" s="21"/>
      <c r="AT1153" s="21"/>
      <c r="AU1153" s="22"/>
      <c r="AV1153" s="21"/>
      <c r="AW1153" s="21"/>
      <c r="AX1153" s="21"/>
      <c r="AY1153" s="21"/>
      <c r="AZ1153" s="21"/>
      <c r="BA1153" s="21"/>
      <c r="BB1153" s="21"/>
      <c r="BC1153" s="21"/>
      <c r="BD1153" s="21"/>
      <c r="BE1153" s="21"/>
      <c r="BF1153" s="21"/>
      <c r="BG1153" s="21"/>
    </row>
    <row r="1154" spans="38:59">
      <c r="AL1154" s="21"/>
      <c r="AM1154" s="24"/>
      <c r="AN1154" s="21"/>
      <c r="AO1154" s="21"/>
      <c r="AP1154" s="64"/>
      <c r="AQ1154" s="64"/>
      <c r="AR1154" s="21"/>
      <c r="AS1154" s="21"/>
      <c r="AT1154" s="21"/>
      <c r="AU1154" s="22"/>
      <c r="AV1154" s="21"/>
      <c r="AW1154" s="21"/>
      <c r="AX1154" s="21"/>
      <c r="AY1154" s="21"/>
      <c r="AZ1154" s="21"/>
      <c r="BA1154" s="21"/>
      <c r="BB1154" s="21"/>
      <c r="BC1154" s="21"/>
      <c r="BD1154" s="21"/>
      <c r="BE1154" s="21"/>
      <c r="BF1154" s="21"/>
      <c r="BG1154" s="21"/>
    </row>
    <row r="1155" spans="38:59">
      <c r="AL1155" s="21"/>
      <c r="AM1155" s="24"/>
      <c r="AN1155" s="21"/>
      <c r="AO1155" s="21"/>
      <c r="AP1155" s="64"/>
      <c r="AQ1155" s="64"/>
      <c r="AR1155" s="21"/>
      <c r="AS1155" s="21"/>
      <c r="AT1155" s="21"/>
      <c r="AU1155" s="22"/>
      <c r="AV1155" s="21"/>
      <c r="AW1155" s="21"/>
      <c r="AX1155" s="21"/>
      <c r="AY1155" s="21"/>
      <c r="AZ1155" s="21"/>
      <c r="BA1155" s="21"/>
      <c r="BB1155" s="21"/>
      <c r="BC1155" s="21"/>
      <c r="BD1155" s="21"/>
      <c r="BE1155" s="21"/>
      <c r="BF1155" s="21"/>
      <c r="BG1155" s="21"/>
    </row>
    <row r="1156" spans="38:59">
      <c r="AL1156" s="21"/>
      <c r="AM1156" s="24"/>
      <c r="AN1156" s="21"/>
      <c r="AO1156" s="21"/>
      <c r="AP1156" s="64"/>
      <c r="AQ1156" s="64"/>
      <c r="AR1156" s="21"/>
      <c r="AS1156" s="21"/>
      <c r="AT1156" s="21"/>
      <c r="AU1156" s="22"/>
      <c r="AV1156" s="21"/>
      <c r="AW1156" s="21"/>
      <c r="AX1156" s="21"/>
      <c r="AY1156" s="21"/>
      <c r="AZ1156" s="21"/>
      <c r="BA1156" s="21"/>
      <c r="BB1156" s="21"/>
      <c r="BC1156" s="21"/>
      <c r="BD1156" s="21"/>
      <c r="BE1156" s="21"/>
      <c r="BF1156" s="21"/>
      <c r="BG1156" s="21"/>
    </row>
    <row r="1157" spans="38:59">
      <c r="AL1157" s="21"/>
      <c r="AM1157" s="24"/>
      <c r="AN1157" s="21"/>
      <c r="AO1157" s="21"/>
      <c r="AP1157" s="64"/>
      <c r="AQ1157" s="64"/>
      <c r="AR1157" s="21"/>
      <c r="AS1157" s="21"/>
      <c r="AT1157" s="21"/>
      <c r="AU1157" s="22"/>
      <c r="AV1157" s="21"/>
      <c r="AW1157" s="21"/>
      <c r="AX1157" s="21"/>
      <c r="AY1157" s="21"/>
      <c r="AZ1157" s="21"/>
      <c r="BA1157" s="21"/>
      <c r="BB1157" s="21"/>
      <c r="BC1157" s="21"/>
      <c r="BD1157" s="21"/>
      <c r="BE1157" s="21"/>
      <c r="BF1157" s="21"/>
      <c r="BG1157" s="21"/>
    </row>
    <row r="1158" spans="38:59">
      <c r="AL1158" s="21"/>
      <c r="AM1158" s="24"/>
      <c r="AN1158" s="21"/>
      <c r="AO1158" s="21"/>
      <c r="AP1158" s="64"/>
      <c r="AQ1158" s="64"/>
      <c r="AR1158" s="21"/>
      <c r="AS1158" s="21"/>
      <c r="AT1158" s="21"/>
      <c r="AU1158" s="22"/>
      <c r="AV1158" s="21"/>
      <c r="AW1158" s="21"/>
      <c r="AX1158" s="21"/>
      <c r="AY1158" s="21"/>
      <c r="AZ1158" s="21"/>
      <c r="BA1158" s="21"/>
      <c r="BB1158" s="21"/>
      <c r="BC1158" s="21"/>
      <c r="BD1158" s="21"/>
      <c r="BE1158" s="21"/>
      <c r="BF1158" s="21"/>
      <c r="BG1158" s="21"/>
    </row>
    <row r="1159" spans="38:59">
      <c r="AL1159" s="21"/>
      <c r="AM1159" s="24"/>
      <c r="AN1159" s="21"/>
      <c r="AO1159" s="21"/>
      <c r="AP1159" s="64"/>
      <c r="AQ1159" s="64"/>
      <c r="AR1159" s="21"/>
      <c r="AS1159" s="21"/>
      <c r="AT1159" s="21"/>
      <c r="AU1159" s="22"/>
      <c r="AV1159" s="21"/>
      <c r="AW1159" s="21"/>
      <c r="AX1159" s="21"/>
      <c r="AY1159" s="21"/>
      <c r="AZ1159" s="21"/>
      <c r="BA1159" s="21"/>
      <c r="BB1159" s="21"/>
      <c r="BC1159" s="21"/>
      <c r="BD1159" s="21"/>
      <c r="BE1159" s="21"/>
      <c r="BF1159" s="21"/>
      <c r="BG1159" s="21"/>
    </row>
    <row r="1160" spans="38:59">
      <c r="AL1160" s="21"/>
      <c r="AM1160" s="24"/>
      <c r="AN1160" s="21"/>
      <c r="AO1160" s="21"/>
      <c r="AP1160" s="64"/>
      <c r="AQ1160" s="64"/>
      <c r="AR1160" s="21"/>
      <c r="AS1160" s="21"/>
      <c r="AT1160" s="21"/>
      <c r="AU1160" s="22"/>
      <c r="AV1160" s="21"/>
      <c r="AW1160" s="21"/>
      <c r="AX1160" s="21"/>
      <c r="AY1160" s="21"/>
      <c r="AZ1160" s="21"/>
      <c r="BA1160" s="21"/>
      <c r="BB1160" s="21"/>
      <c r="BC1160" s="21"/>
      <c r="BD1160" s="21"/>
      <c r="BE1160" s="21"/>
      <c r="BF1160" s="21"/>
      <c r="BG1160" s="21"/>
    </row>
    <row r="1161" spans="38:59">
      <c r="AL1161" s="21"/>
      <c r="AM1161" s="24"/>
      <c r="AN1161" s="21"/>
      <c r="AO1161" s="21"/>
      <c r="AP1161" s="64"/>
      <c r="AQ1161" s="64"/>
      <c r="AR1161" s="21"/>
      <c r="AS1161" s="21"/>
      <c r="AT1161" s="21"/>
      <c r="AU1161" s="22"/>
      <c r="AV1161" s="21"/>
      <c r="AW1161" s="21"/>
      <c r="AX1161" s="21"/>
      <c r="AY1161" s="21"/>
      <c r="AZ1161" s="21"/>
      <c r="BA1161" s="21"/>
      <c r="BB1161" s="21"/>
      <c r="BC1161" s="21"/>
      <c r="BD1161" s="21"/>
      <c r="BE1161" s="21"/>
      <c r="BF1161" s="21"/>
      <c r="BG1161" s="21"/>
    </row>
    <row r="1162" spans="38:59">
      <c r="AL1162" s="21"/>
      <c r="AM1162" s="24"/>
      <c r="AN1162" s="21"/>
      <c r="AO1162" s="21"/>
      <c r="AP1162" s="64"/>
      <c r="AQ1162" s="64"/>
      <c r="AR1162" s="21"/>
      <c r="AS1162" s="21"/>
      <c r="AT1162" s="21"/>
      <c r="AU1162" s="22"/>
      <c r="AV1162" s="21"/>
      <c r="AW1162" s="21"/>
      <c r="AX1162" s="21"/>
      <c r="AY1162" s="21"/>
      <c r="AZ1162" s="21"/>
      <c r="BA1162" s="21"/>
      <c r="BB1162" s="21"/>
      <c r="BC1162" s="21"/>
      <c r="BD1162" s="21"/>
      <c r="BE1162" s="21"/>
      <c r="BF1162" s="21"/>
      <c r="BG1162" s="21"/>
    </row>
    <row r="1163" spans="38:59">
      <c r="AL1163" s="21"/>
      <c r="AM1163" s="24"/>
      <c r="AN1163" s="21"/>
      <c r="AO1163" s="21"/>
      <c r="AP1163" s="64"/>
      <c r="AQ1163" s="64"/>
      <c r="AR1163" s="21"/>
      <c r="AS1163" s="21"/>
      <c r="AT1163" s="21"/>
      <c r="AU1163" s="22"/>
      <c r="AV1163" s="21"/>
      <c r="AW1163" s="21"/>
      <c r="AX1163" s="21"/>
      <c r="AY1163" s="21"/>
      <c r="AZ1163" s="21"/>
      <c r="BA1163" s="21"/>
      <c r="BB1163" s="21"/>
      <c r="BC1163" s="21"/>
      <c r="BD1163" s="21"/>
      <c r="BE1163" s="21"/>
      <c r="BF1163" s="21"/>
      <c r="BG1163" s="21"/>
    </row>
    <row r="1164" spans="38:59">
      <c r="AL1164" s="21"/>
      <c r="AM1164" s="24"/>
      <c r="AN1164" s="21"/>
      <c r="AO1164" s="21"/>
      <c r="AP1164" s="64"/>
      <c r="AQ1164" s="64"/>
      <c r="AR1164" s="21"/>
      <c r="AS1164" s="21"/>
      <c r="AT1164" s="21"/>
      <c r="AU1164" s="22"/>
      <c r="AV1164" s="21"/>
      <c r="AW1164" s="21"/>
      <c r="AX1164" s="21"/>
      <c r="AY1164" s="21"/>
      <c r="AZ1164" s="21"/>
      <c r="BA1164" s="21"/>
      <c r="BB1164" s="21"/>
      <c r="BC1164" s="21"/>
      <c r="BD1164" s="21"/>
      <c r="BE1164" s="21"/>
      <c r="BF1164" s="21"/>
      <c r="BG1164" s="21"/>
    </row>
    <row r="1165" spans="38:59">
      <c r="AL1165" s="21"/>
      <c r="AM1165" s="24"/>
      <c r="AN1165" s="21"/>
      <c r="AO1165" s="21"/>
      <c r="AP1165" s="64"/>
      <c r="AQ1165" s="64"/>
      <c r="AR1165" s="21"/>
      <c r="AS1165" s="21"/>
      <c r="AT1165" s="21"/>
      <c r="AU1165" s="22"/>
      <c r="AV1165" s="21"/>
      <c r="AW1165" s="21"/>
      <c r="AX1165" s="21"/>
      <c r="AY1165" s="21"/>
      <c r="AZ1165" s="21"/>
      <c r="BA1165" s="21"/>
      <c r="BB1165" s="21"/>
      <c r="BC1165" s="21"/>
      <c r="BD1165" s="21"/>
      <c r="BE1165" s="21"/>
      <c r="BF1165" s="21"/>
      <c r="BG1165" s="21"/>
    </row>
    <row r="1166" spans="38:59">
      <c r="AL1166" s="21"/>
      <c r="AM1166" s="24"/>
      <c r="AN1166" s="21"/>
      <c r="AO1166" s="21"/>
      <c r="AP1166" s="64"/>
      <c r="AQ1166" s="64"/>
      <c r="AR1166" s="21"/>
      <c r="AS1166" s="21"/>
      <c r="AT1166" s="21"/>
      <c r="AU1166" s="22"/>
      <c r="AV1166" s="21"/>
      <c r="AW1166" s="21"/>
      <c r="AX1166" s="21"/>
      <c r="AY1166" s="21"/>
      <c r="AZ1166" s="21"/>
      <c r="BA1166" s="21"/>
      <c r="BB1166" s="21"/>
      <c r="BC1166" s="21"/>
      <c r="BD1166" s="21"/>
      <c r="BE1166" s="21"/>
      <c r="BF1166" s="21"/>
      <c r="BG1166" s="21"/>
    </row>
    <row r="1167" spans="38:59">
      <c r="AL1167" s="21"/>
      <c r="AM1167" s="24"/>
      <c r="AN1167" s="21"/>
      <c r="AO1167" s="21"/>
      <c r="AP1167" s="64"/>
      <c r="AQ1167" s="64"/>
      <c r="AR1167" s="21"/>
      <c r="AS1167" s="21"/>
      <c r="AT1167" s="21"/>
      <c r="AU1167" s="22"/>
      <c r="AV1167" s="21"/>
      <c r="AW1167" s="21"/>
      <c r="AX1167" s="21"/>
      <c r="AY1167" s="21"/>
      <c r="AZ1167" s="21"/>
      <c r="BA1167" s="21"/>
      <c r="BB1167" s="21"/>
      <c r="BC1167" s="21"/>
      <c r="BD1167" s="21"/>
      <c r="BE1167" s="21"/>
      <c r="BF1167" s="21"/>
      <c r="BG1167" s="21"/>
    </row>
    <row r="1168" spans="38:59">
      <c r="AL1168" s="21"/>
      <c r="AM1168" s="24"/>
      <c r="AN1168" s="21"/>
      <c r="AO1168" s="21"/>
      <c r="AP1168" s="64"/>
      <c r="AQ1168" s="64"/>
      <c r="AR1168" s="21"/>
      <c r="AS1168" s="21"/>
      <c r="AT1168" s="21"/>
      <c r="AU1168" s="22"/>
      <c r="AV1168" s="21"/>
      <c r="AW1168" s="21"/>
      <c r="AX1168" s="21"/>
      <c r="AY1168" s="21"/>
      <c r="AZ1168" s="21"/>
      <c r="BA1168" s="21"/>
      <c r="BB1168" s="21"/>
      <c r="BC1168" s="21"/>
      <c r="BD1168" s="21"/>
      <c r="BE1168" s="21"/>
      <c r="BF1168" s="21"/>
      <c r="BG1168" s="21"/>
    </row>
    <row r="1169" spans="38:59">
      <c r="AL1169" s="21"/>
      <c r="AM1169" s="24"/>
      <c r="AN1169" s="21"/>
      <c r="AO1169" s="21"/>
      <c r="AP1169" s="64"/>
      <c r="AQ1169" s="64"/>
      <c r="AR1169" s="21"/>
      <c r="AS1169" s="21"/>
      <c r="AT1169" s="21"/>
      <c r="AU1169" s="22"/>
      <c r="AV1169" s="21"/>
      <c r="AW1169" s="21"/>
      <c r="AX1169" s="21"/>
      <c r="AY1169" s="21"/>
      <c r="AZ1169" s="21"/>
      <c r="BA1169" s="21"/>
      <c r="BB1169" s="21"/>
      <c r="BC1169" s="21"/>
      <c r="BD1169" s="21"/>
      <c r="BE1169" s="21"/>
      <c r="BF1169" s="21"/>
      <c r="BG1169" s="21"/>
    </row>
    <row r="1170" spans="38:59">
      <c r="AL1170" s="21"/>
      <c r="AM1170" s="24"/>
      <c r="AN1170" s="21"/>
      <c r="AO1170" s="21"/>
      <c r="AP1170" s="64"/>
      <c r="AQ1170" s="64"/>
      <c r="AR1170" s="21"/>
      <c r="AS1170" s="21"/>
      <c r="AT1170" s="21"/>
      <c r="AU1170" s="22"/>
      <c r="AV1170" s="21"/>
      <c r="AW1170" s="21"/>
      <c r="AX1170" s="21"/>
      <c r="AY1170" s="21"/>
      <c r="AZ1170" s="21"/>
      <c r="BA1170" s="21"/>
      <c r="BB1170" s="21"/>
      <c r="BC1170" s="21"/>
      <c r="BD1170" s="21"/>
      <c r="BE1170" s="21"/>
      <c r="BF1170" s="21"/>
      <c r="BG1170" s="21"/>
    </row>
    <row r="1171" spans="38:59">
      <c r="AL1171" s="21"/>
      <c r="AM1171" s="24"/>
      <c r="AN1171" s="21"/>
      <c r="AO1171" s="21"/>
      <c r="AP1171" s="64"/>
      <c r="AQ1171" s="64"/>
      <c r="AR1171" s="21"/>
      <c r="AS1171" s="21"/>
      <c r="AT1171" s="21"/>
      <c r="AU1171" s="22"/>
      <c r="AV1171" s="21"/>
      <c r="AW1171" s="21"/>
      <c r="AX1171" s="21"/>
      <c r="AY1171" s="21"/>
      <c r="AZ1171" s="21"/>
      <c r="BA1171" s="21"/>
      <c r="BB1171" s="21"/>
      <c r="BC1171" s="21"/>
      <c r="BD1171" s="21"/>
      <c r="BE1171" s="21"/>
      <c r="BF1171" s="21"/>
      <c r="BG1171" s="21"/>
    </row>
    <row r="1172" spans="38:59">
      <c r="AL1172" s="21"/>
      <c r="AM1172" s="24"/>
      <c r="AN1172" s="21"/>
      <c r="AO1172" s="21"/>
      <c r="AP1172" s="64"/>
      <c r="AQ1172" s="64"/>
      <c r="AR1172" s="21"/>
      <c r="AS1172" s="21"/>
      <c r="AT1172" s="21"/>
      <c r="AU1172" s="22"/>
      <c r="AV1172" s="21"/>
      <c r="AW1172" s="21"/>
      <c r="AX1172" s="21"/>
      <c r="AY1172" s="21"/>
      <c r="AZ1172" s="21"/>
      <c r="BA1172" s="21"/>
      <c r="BB1172" s="21"/>
      <c r="BC1172" s="21"/>
      <c r="BD1172" s="21"/>
      <c r="BE1172" s="21"/>
      <c r="BF1172" s="21"/>
      <c r="BG1172" s="21"/>
    </row>
    <row r="1173" spans="38:59">
      <c r="AL1173" s="21"/>
      <c r="AM1173" s="24"/>
      <c r="AN1173" s="21"/>
      <c r="AO1173" s="21"/>
      <c r="AP1173" s="64"/>
      <c r="AQ1173" s="64"/>
      <c r="AR1173" s="21"/>
      <c r="AS1173" s="21"/>
      <c r="AT1173" s="21"/>
      <c r="AU1173" s="22"/>
      <c r="AV1173" s="21"/>
      <c r="AW1173" s="21"/>
      <c r="AX1173" s="21"/>
      <c r="AY1173" s="21"/>
      <c r="AZ1173" s="21"/>
      <c r="BA1173" s="21"/>
      <c r="BB1173" s="21"/>
      <c r="BC1173" s="21"/>
      <c r="BD1173" s="21"/>
      <c r="BE1173" s="21"/>
      <c r="BF1173" s="21"/>
      <c r="BG1173" s="21"/>
    </row>
    <row r="1174" spans="38:59">
      <c r="AL1174" s="21"/>
      <c r="AM1174" s="24"/>
      <c r="AN1174" s="21"/>
      <c r="AO1174" s="21"/>
      <c r="AP1174" s="64"/>
      <c r="AQ1174" s="64"/>
      <c r="AR1174" s="21"/>
      <c r="AS1174" s="21"/>
      <c r="AT1174" s="21"/>
      <c r="AU1174" s="22"/>
      <c r="AV1174" s="21"/>
      <c r="AW1174" s="21"/>
      <c r="AX1174" s="21"/>
      <c r="AY1174" s="21"/>
      <c r="AZ1174" s="21"/>
      <c r="BA1174" s="21"/>
      <c r="BB1174" s="21"/>
      <c r="BC1174" s="21"/>
      <c r="BD1174" s="21"/>
      <c r="BE1174" s="21"/>
      <c r="BF1174" s="21"/>
      <c r="BG1174" s="21"/>
    </row>
    <row r="1175" spans="38:59">
      <c r="AL1175" s="21"/>
      <c r="AM1175" s="24"/>
      <c r="AN1175" s="21"/>
      <c r="AO1175" s="21"/>
      <c r="AP1175" s="64"/>
      <c r="AQ1175" s="64"/>
      <c r="AR1175" s="21"/>
      <c r="AS1175" s="21"/>
      <c r="AT1175" s="21"/>
      <c r="AU1175" s="22"/>
      <c r="AV1175" s="21"/>
      <c r="AW1175" s="21"/>
      <c r="AX1175" s="21"/>
      <c r="AY1175" s="21"/>
      <c r="AZ1175" s="21"/>
      <c r="BA1175" s="21"/>
      <c r="BB1175" s="21"/>
      <c r="BC1175" s="21"/>
      <c r="BD1175" s="21"/>
      <c r="BE1175" s="21"/>
      <c r="BF1175" s="21"/>
      <c r="BG1175" s="21"/>
    </row>
    <row r="1176" spans="38:59">
      <c r="AL1176" s="21"/>
      <c r="AM1176" s="24"/>
      <c r="AN1176" s="21"/>
      <c r="AO1176" s="21"/>
      <c r="AP1176" s="64"/>
      <c r="AQ1176" s="64"/>
      <c r="AR1176" s="21"/>
      <c r="AS1176" s="21"/>
      <c r="AT1176" s="21"/>
      <c r="AU1176" s="22"/>
      <c r="AV1176" s="21"/>
      <c r="AW1176" s="21"/>
      <c r="AX1176" s="21"/>
      <c r="AY1176" s="21"/>
      <c r="AZ1176" s="21"/>
      <c r="BA1176" s="21"/>
      <c r="BB1176" s="21"/>
      <c r="BC1176" s="21"/>
      <c r="BD1176" s="21"/>
      <c r="BE1176" s="21"/>
      <c r="BF1176" s="21"/>
      <c r="BG1176" s="21"/>
    </row>
    <row r="1177" spans="38:59">
      <c r="AL1177" s="21"/>
      <c r="AM1177" s="24"/>
      <c r="AN1177" s="21"/>
      <c r="AO1177" s="21"/>
      <c r="AP1177" s="64"/>
      <c r="AQ1177" s="64"/>
      <c r="AR1177" s="21"/>
      <c r="AS1177" s="21"/>
      <c r="AT1177" s="21"/>
      <c r="AU1177" s="22"/>
      <c r="AV1177" s="21"/>
      <c r="AW1177" s="21"/>
      <c r="AX1177" s="21"/>
      <c r="AY1177" s="21"/>
      <c r="AZ1177" s="21"/>
      <c r="BA1177" s="21"/>
      <c r="BB1177" s="21"/>
      <c r="BC1177" s="21"/>
      <c r="BD1177" s="21"/>
      <c r="BE1177" s="21"/>
      <c r="BF1177" s="21"/>
      <c r="BG1177" s="21"/>
    </row>
    <row r="1178" spans="38:59">
      <c r="AL1178" s="21"/>
      <c r="AM1178" s="24"/>
      <c r="AN1178" s="21"/>
      <c r="AO1178" s="21"/>
      <c r="AP1178" s="64"/>
      <c r="AQ1178" s="64"/>
      <c r="AR1178" s="21"/>
      <c r="AS1178" s="21"/>
      <c r="AT1178" s="21"/>
      <c r="AU1178" s="22"/>
      <c r="AV1178" s="21"/>
      <c r="AW1178" s="21"/>
      <c r="AX1178" s="21"/>
      <c r="AY1178" s="21"/>
      <c r="AZ1178" s="21"/>
      <c r="BA1178" s="21"/>
      <c r="BB1178" s="21"/>
      <c r="BC1178" s="21"/>
      <c r="BD1178" s="21"/>
      <c r="BE1178" s="21"/>
      <c r="BF1178" s="21"/>
      <c r="BG1178" s="21"/>
    </row>
    <row r="1179" spans="38:59">
      <c r="AL1179" s="21"/>
      <c r="AM1179" s="24"/>
      <c r="AN1179" s="21"/>
      <c r="AO1179" s="21"/>
      <c r="AP1179" s="64"/>
      <c r="AQ1179" s="64"/>
      <c r="AR1179" s="21"/>
      <c r="AS1179" s="21"/>
      <c r="AT1179" s="21"/>
      <c r="AU1179" s="22"/>
      <c r="AV1179" s="21"/>
      <c r="AW1179" s="21"/>
      <c r="AX1179" s="21"/>
      <c r="AY1179" s="21"/>
      <c r="AZ1179" s="21"/>
      <c r="BA1179" s="21"/>
      <c r="BB1179" s="21"/>
      <c r="BC1179" s="21"/>
      <c r="BD1179" s="21"/>
      <c r="BE1179" s="21"/>
      <c r="BF1179" s="21"/>
      <c r="BG1179" s="21"/>
    </row>
    <row r="1180" spans="38:59">
      <c r="AL1180" s="21"/>
      <c r="AM1180" s="24"/>
      <c r="AN1180" s="21"/>
      <c r="AO1180" s="21"/>
      <c r="AP1180" s="64"/>
      <c r="AQ1180" s="64"/>
      <c r="AR1180" s="21"/>
      <c r="AS1180" s="21"/>
      <c r="AT1180" s="21"/>
      <c r="AU1180" s="22"/>
      <c r="AV1180" s="21"/>
      <c r="AW1180" s="21"/>
      <c r="AX1180" s="21"/>
      <c r="AY1180" s="21"/>
      <c r="AZ1180" s="21"/>
      <c r="BA1180" s="21"/>
      <c r="BB1180" s="21"/>
      <c r="BC1180" s="21"/>
      <c r="BD1180" s="21"/>
      <c r="BE1180" s="21"/>
      <c r="BF1180" s="21"/>
      <c r="BG1180" s="21"/>
    </row>
    <row r="1181" spans="38:59">
      <c r="AL1181" s="21"/>
      <c r="AM1181" s="24"/>
      <c r="AN1181" s="21"/>
      <c r="AO1181" s="21"/>
      <c r="AP1181" s="64"/>
      <c r="AQ1181" s="64"/>
      <c r="AR1181" s="21"/>
      <c r="AS1181" s="21"/>
      <c r="AT1181" s="21"/>
      <c r="AU1181" s="22"/>
      <c r="AV1181" s="21"/>
      <c r="AW1181" s="21"/>
      <c r="AX1181" s="21"/>
      <c r="AY1181" s="21"/>
      <c r="AZ1181" s="21"/>
      <c r="BA1181" s="21"/>
      <c r="BB1181" s="21"/>
      <c r="BC1181" s="21"/>
      <c r="BD1181" s="21"/>
      <c r="BE1181" s="21"/>
      <c r="BF1181" s="21"/>
      <c r="BG1181" s="21"/>
    </row>
    <row r="1182" spans="38:59">
      <c r="AL1182" s="21"/>
      <c r="AM1182" s="24"/>
      <c r="AN1182" s="21"/>
      <c r="AO1182" s="21"/>
      <c r="AP1182" s="64"/>
      <c r="AQ1182" s="64"/>
      <c r="AR1182" s="21"/>
      <c r="AS1182" s="21"/>
      <c r="AT1182" s="21"/>
      <c r="AU1182" s="22"/>
      <c r="AV1182" s="21"/>
      <c r="AW1182" s="21"/>
      <c r="AX1182" s="21"/>
      <c r="AY1182" s="21"/>
      <c r="AZ1182" s="21"/>
      <c r="BA1182" s="21"/>
      <c r="BB1182" s="21"/>
      <c r="BC1182" s="21"/>
      <c r="BD1182" s="21"/>
      <c r="BE1182" s="21"/>
      <c r="BF1182" s="21"/>
      <c r="BG1182" s="21"/>
    </row>
    <row r="1183" spans="38:59">
      <c r="AL1183" s="21"/>
      <c r="AM1183" s="24"/>
      <c r="AN1183" s="21"/>
      <c r="AO1183" s="21"/>
      <c r="AP1183" s="64"/>
      <c r="AQ1183" s="64"/>
      <c r="AR1183" s="21"/>
      <c r="AS1183" s="21"/>
      <c r="AT1183" s="21"/>
      <c r="AU1183" s="22"/>
      <c r="AV1183" s="21"/>
      <c r="AW1183" s="21"/>
      <c r="AX1183" s="21"/>
      <c r="AY1183" s="21"/>
      <c r="AZ1183" s="21"/>
      <c r="BA1183" s="21"/>
      <c r="BB1183" s="21"/>
      <c r="BC1183" s="21"/>
      <c r="BD1183" s="21"/>
      <c r="BE1183" s="21"/>
      <c r="BF1183" s="21"/>
      <c r="BG1183" s="21"/>
    </row>
    <row r="1184" spans="38:59">
      <c r="AL1184" s="21"/>
      <c r="AM1184" s="24"/>
      <c r="AN1184" s="21"/>
      <c r="AO1184" s="21"/>
      <c r="AP1184" s="64"/>
      <c r="AQ1184" s="64"/>
      <c r="AR1184" s="21"/>
      <c r="AS1184" s="21"/>
      <c r="AT1184" s="21"/>
      <c r="AU1184" s="22"/>
      <c r="AV1184" s="21"/>
      <c r="AW1184" s="21"/>
      <c r="AX1184" s="21"/>
      <c r="AY1184" s="21"/>
      <c r="AZ1184" s="21"/>
      <c r="BA1184" s="21"/>
      <c r="BB1184" s="21"/>
      <c r="BC1184" s="21"/>
      <c r="BD1184" s="21"/>
      <c r="BE1184" s="21"/>
      <c r="BF1184" s="21"/>
      <c r="BG1184" s="21"/>
    </row>
    <row r="1185" spans="38:59">
      <c r="AL1185" s="21"/>
      <c r="AM1185" s="24"/>
      <c r="AN1185" s="21"/>
      <c r="AO1185" s="21"/>
      <c r="AP1185" s="64"/>
      <c r="AQ1185" s="64"/>
      <c r="AR1185" s="21"/>
      <c r="AS1185" s="21"/>
      <c r="AT1185" s="21"/>
      <c r="AU1185" s="22"/>
      <c r="AV1185" s="21"/>
      <c r="AW1185" s="21"/>
      <c r="AX1185" s="21"/>
      <c r="AY1185" s="21"/>
      <c r="AZ1185" s="21"/>
      <c r="BA1185" s="21"/>
      <c r="BB1185" s="21"/>
      <c r="BC1185" s="21"/>
      <c r="BD1185" s="21"/>
      <c r="BE1185" s="21"/>
      <c r="BF1185" s="21"/>
      <c r="BG1185" s="21"/>
    </row>
    <row r="1186" spans="38:59">
      <c r="AL1186" s="21"/>
      <c r="AM1186" s="24"/>
      <c r="AN1186" s="21"/>
      <c r="AO1186" s="21"/>
      <c r="AP1186" s="64"/>
      <c r="AQ1186" s="64"/>
      <c r="AR1186" s="21"/>
      <c r="AS1186" s="21"/>
      <c r="AT1186" s="21"/>
      <c r="AU1186" s="22"/>
      <c r="AV1186" s="21"/>
      <c r="AW1186" s="21"/>
      <c r="AX1186" s="21"/>
      <c r="AY1186" s="21"/>
      <c r="AZ1186" s="21"/>
      <c r="BA1186" s="21"/>
      <c r="BB1186" s="21"/>
      <c r="BC1186" s="21"/>
      <c r="BD1186" s="21"/>
      <c r="BE1186" s="21"/>
      <c r="BF1186" s="21"/>
      <c r="BG1186" s="21"/>
    </row>
    <row r="1187" spans="38:59">
      <c r="AL1187" s="21"/>
      <c r="AM1187" s="24"/>
      <c r="AN1187" s="21"/>
      <c r="AO1187" s="21"/>
      <c r="AP1187" s="64"/>
      <c r="AQ1187" s="64"/>
      <c r="AR1187" s="21"/>
      <c r="AS1187" s="21"/>
      <c r="AT1187" s="21"/>
      <c r="AU1187" s="22"/>
      <c r="AV1187" s="21"/>
      <c r="AW1187" s="21"/>
      <c r="AX1187" s="21"/>
      <c r="AY1187" s="21"/>
      <c r="AZ1187" s="21"/>
      <c r="BA1187" s="21"/>
      <c r="BB1187" s="21"/>
      <c r="BC1187" s="21"/>
      <c r="BD1187" s="21"/>
      <c r="BE1187" s="21"/>
      <c r="BF1187" s="21"/>
      <c r="BG1187" s="21"/>
    </row>
    <row r="1188" spans="38:59">
      <c r="AL1188" s="21"/>
      <c r="AM1188" s="24"/>
      <c r="AN1188" s="21"/>
      <c r="AO1188" s="21"/>
      <c r="AP1188" s="64"/>
      <c r="AQ1188" s="64"/>
      <c r="AR1188" s="21"/>
      <c r="AS1188" s="21"/>
      <c r="AT1188" s="21"/>
      <c r="AU1188" s="22"/>
      <c r="AV1188" s="21"/>
      <c r="AW1188" s="21"/>
      <c r="AX1188" s="21"/>
      <c r="AY1188" s="21"/>
      <c r="AZ1188" s="21"/>
      <c r="BA1188" s="21"/>
      <c r="BB1188" s="21"/>
      <c r="BC1188" s="21"/>
      <c r="BD1188" s="21"/>
      <c r="BE1188" s="21"/>
      <c r="BF1188" s="21"/>
      <c r="BG1188" s="21"/>
    </row>
    <row r="1189" spans="38:59">
      <c r="AL1189" s="21"/>
      <c r="AM1189" s="24"/>
      <c r="AN1189" s="21"/>
      <c r="AO1189" s="21"/>
      <c r="AP1189" s="64"/>
      <c r="AQ1189" s="64"/>
      <c r="AR1189" s="21"/>
      <c r="AS1189" s="21"/>
      <c r="AT1189" s="21"/>
      <c r="AU1189" s="22"/>
      <c r="AV1189" s="21"/>
      <c r="AW1189" s="21"/>
      <c r="AX1189" s="21"/>
      <c r="AY1189" s="21"/>
      <c r="AZ1189" s="21"/>
      <c r="BA1189" s="21"/>
      <c r="BB1189" s="21"/>
      <c r="BC1189" s="21"/>
      <c r="BD1189" s="21"/>
      <c r="BE1189" s="21"/>
      <c r="BF1189" s="21"/>
      <c r="BG1189" s="21"/>
    </row>
    <row r="1190" spans="38:59">
      <c r="AL1190" s="21"/>
      <c r="AM1190" s="24"/>
      <c r="AN1190" s="21"/>
      <c r="AO1190" s="21"/>
      <c r="AP1190" s="64"/>
      <c r="AQ1190" s="64"/>
      <c r="AR1190" s="21"/>
      <c r="AS1190" s="21"/>
      <c r="AT1190" s="21"/>
      <c r="AU1190" s="22"/>
      <c r="AV1190" s="21"/>
      <c r="AW1190" s="21"/>
      <c r="AX1190" s="21"/>
      <c r="AY1190" s="21"/>
      <c r="AZ1190" s="21"/>
      <c r="BA1190" s="21"/>
      <c r="BB1190" s="21"/>
      <c r="BC1190" s="21"/>
      <c r="BD1190" s="21"/>
      <c r="BE1190" s="21"/>
      <c r="BF1190" s="21"/>
      <c r="BG1190" s="21"/>
    </row>
    <row r="1191" spans="38:59">
      <c r="AL1191" s="21"/>
      <c r="AM1191" s="24"/>
      <c r="AN1191" s="21"/>
      <c r="AO1191" s="21"/>
      <c r="AP1191" s="64"/>
      <c r="AQ1191" s="64"/>
      <c r="AR1191" s="21"/>
      <c r="AS1191" s="21"/>
      <c r="AT1191" s="21"/>
      <c r="AU1191" s="22"/>
      <c r="AV1191" s="21"/>
      <c r="AW1191" s="21"/>
      <c r="AX1191" s="21"/>
      <c r="AY1191" s="21"/>
      <c r="AZ1191" s="21"/>
      <c r="BA1191" s="21"/>
      <c r="BB1191" s="21"/>
      <c r="BC1191" s="21"/>
      <c r="BD1191" s="21"/>
      <c r="BE1191" s="21"/>
      <c r="BF1191" s="21"/>
      <c r="BG1191" s="21"/>
    </row>
    <row r="1192" spans="38:59">
      <c r="AL1192" s="21"/>
      <c r="AM1192" s="24"/>
      <c r="AN1192" s="21"/>
      <c r="AO1192" s="21"/>
      <c r="AP1192" s="64"/>
      <c r="AQ1192" s="64"/>
      <c r="AR1192" s="21"/>
      <c r="AS1192" s="21"/>
      <c r="AT1192" s="21"/>
      <c r="AU1192" s="22"/>
      <c r="AV1192" s="21"/>
      <c r="AW1192" s="21"/>
      <c r="AX1192" s="21"/>
      <c r="AY1192" s="21"/>
      <c r="AZ1192" s="21"/>
      <c r="BA1192" s="21"/>
      <c r="BB1192" s="21"/>
      <c r="BC1192" s="21"/>
      <c r="BD1192" s="21"/>
      <c r="BE1192" s="21"/>
      <c r="BF1192" s="21"/>
      <c r="BG1192" s="21"/>
    </row>
    <row r="1193" spans="38:59">
      <c r="AL1193" s="21"/>
      <c r="AM1193" s="24"/>
      <c r="AN1193" s="21"/>
      <c r="AO1193" s="21"/>
      <c r="AP1193" s="64"/>
      <c r="AQ1193" s="64"/>
      <c r="AR1193" s="21"/>
      <c r="AS1193" s="21"/>
      <c r="AT1193" s="21"/>
      <c r="AU1193" s="22"/>
      <c r="AV1193" s="21"/>
      <c r="AW1193" s="21"/>
      <c r="AX1193" s="21"/>
      <c r="AY1193" s="21"/>
      <c r="AZ1193" s="21"/>
      <c r="BA1193" s="21"/>
      <c r="BB1193" s="21"/>
      <c r="BC1193" s="21"/>
      <c r="BD1193" s="21"/>
      <c r="BE1193" s="21"/>
      <c r="BF1193" s="21"/>
      <c r="BG1193" s="21"/>
    </row>
    <row r="1194" spans="38:59">
      <c r="AL1194" s="21"/>
      <c r="AM1194" s="24"/>
      <c r="AN1194" s="21"/>
      <c r="AO1194" s="21"/>
      <c r="AP1194" s="64"/>
      <c r="AQ1194" s="64"/>
      <c r="AR1194" s="21"/>
      <c r="AS1194" s="21"/>
      <c r="AT1194" s="21"/>
      <c r="AU1194" s="22"/>
      <c r="AV1194" s="21"/>
      <c r="AW1194" s="21"/>
      <c r="AX1194" s="21"/>
      <c r="AY1194" s="21"/>
      <c r="AZ1194" s="21"/>
      <c r="BA1194" s="21"/>
      <c r="BB1194" s="21"/>
      <c r="BC1194" s="21"/>
      <c r="BD1194" s="21"/>
      <c r="BE1194" s="21"/>
      <c r="BF1194" s="21"/>
      <c r="BG1194" s="21"/>
    </row>
    <row r="1195" spans="38:59">
      <c r="AL1195" s="21"/>
      <c r="AM1195" s="24"/>
      <c r="AN1195" s="21"/>
      <c r="AO1195" s="21"/>
      <c r="AP1195" s="64"/>
      <c r="AQ1195" s="64"/>
      <c r="AR1195" s="21"/>
      <c r="AS1195" s="21"/>
      <c r="AT1195" s="21"/>
      <c r="AU1195" s="22"/>
      <c r="AV1195" s="21"/>
      <c r="AW1195" s="21"/>
      <c r="AX1195" s="21"/>
      <c r="AY1195" s="21"/>
      <c r="AZ1195" s="21"/>
      <c r="BA1195" s="21"/>
      <c r="BB1195" s="21"/>
      <c r="BC1195" s="21"/>
      <c r="BD1195" s="21"/>
      <c r="BE1195" s="21"/>
      <c r="BF1195" s="21"/>
      <c r="BG1195" s="21"/>
    </row>
    <row r="1196" spans="38:59">
      <c r="AL1196" s="21"/>
      <c r="AM1196" s="24"/>
      <c r="AN1196" s="21"/>
      <c r="AO1196" s="21"/>
      <c r="AP1196" s="64"/>
      <c r="AQ1196" s="64"/>
      <c r="AR1196" s="21"/>
      <c r="AS1196" s="21"/>
      <c r="AT1196" s="21"/>
      <c r="AU1196" s="22"/>
      <c r="AV1196" s="21"/>
      <c r="AW1196" s="21"/>
      <c r="AX1196" s="21"/>
      <c r="AY1196" s="21"/>
      <c r="AZ1196" s="21"/>
      <c r="BA1196" s="21"/>
      <c r="BB1196" s="21"/>
      <c r="BC1196" s="21"/>
      <c r="BD1196" s="21"/>
      <c r="BE1196" s="21"/>
      <c r="BF1196" s="21"/>
      <c r="BG1196" s="21"/>
    </row>
    <row r="1197" spans="38:59">
      <c r="AL1197" s="21"/>
      <c r="AM1197" s="24"/>
      <c r="AN1197" s="21"/>
      <c r="AO1197" s="21"/>
      <c r="AP1197" s="64"/>
      <c r="AQ1197" s="64"/>
      <c r="AR1197" s="21"/>
      <c r="AS1197" s="21"/>
      <c r="AT1197" s="21"/>
      <c r="AU1197" s="22"/>
      <c r="AV1197" s="21"/>
      <c r="AW1197" s="21"/>
      <c r="AX1197" s="21"/>
      <c r="AY1197" s="21"/>
      <c r="AZ1197" s="21"/>
      <c r="BA1197" s="21"/>
      <c r="BB1197" s="21"/>
      <c r="BC1197" s="21"/>
      <c r="BD1197" s="21"/>
      <c r="BE1197" s="21"/>
      <c r="BF1197" s="21"/>
      <c r="BG1197" s="21"/>
    </row>
    <row r="1198" spans="38:59">
      <c r="AL1198" s="21"/>
      <c r="AM1198" s="24"/>
      <c r="AN1198" s="21"/>
      <c r="AO1198" s="21"/>
      <c r="AP1198" s="64"/>
      <c r="AQ1198" s="64"/>
      <c r="AR1198" s="21"/>
      <c r="AS1198" s="21"/>
      <c r="AT1198" s="21"/>
      <c r="AU1198" s="22"/>
      <c r="AV1198" s="21"/>
      <c r="AW1198" s="21"/>
      <c r="AX1198" s="21"/>
      <c r="AY1198" s="21"/>
      <c r="AZ1198" s="21"/>
      <c r="BA1198" s="21"/>
      <c r="BB1198" s="21"/>
      <c r="BC1198" s="21"/>
      <c r="BD1198" s="21"/>
      <c r="BE1198" s="21"/>
      <c r="BF1198" s="21"/>
      <c r="BG1198" s="21"/>
    </row>
    <row r="1199" spans="38:59">
      <c r="AL1199" s="21"/>
      <c r="AM1199" s="24"/>
      <c r="AN1199" s="21"/>
      <c r="AO1199" s="21"/>
      <c r="AP1199" s="64"/>
      <c r="AQ1199" s="64"/>
      <c r="AR1199" s="21"/>
      <c r="AS1199" s="21"/>
      <c r="AT1199" s="21"/>
      <c r="AU1199" s="22"/>
      <c r="AV1199" s="21"/>
      <c r="AW1199" s="21"/>
      <c r="AX1199" s="21"/>
      <c r="AY1199" s="21"/>
      <c r="AZ1199" s="21"/>
      <c r="BA1199" s="21"/>
      <c r="BB1199" s="21"/>
      <c r="BC1199" s="21"/>
      <c r="BD1199" s="21"/>
      <c r="BE1199" s="21"/>
      <c r="BF1199" s="21"/>
      <c r="BG1199" s="21"/>
    </row>
    <row r="1200" spans="38:59">
      <c r="AL1200" s="21"/>
      <c r="AM1200" s="24"/>
      <c r="AN1200" s="21"/>
      <c r="AO1200" s="21"/>
      <c r="AP1200" s="64"/>
      <c r="AQ1200" s="64"/>
      <c r="AR1200" s="21"/>
      <c r="AS1200" s="21"/>
      <c r="AT1200" s="21"/>
      <c r="AU1200" s="22"/>
      <c r="AV1200" s="21"/>
      <c r="AW1200" s="21"/>
      <c r="AX1200" s="21"/>
      <c r="AY1200" s="21"/>
      <c r="AZ1200" s="21"/>
      <c r="BA1200" s="21"/>
      <c r="BB1200" s="21"/>
      <c r="BC1200" s="21"/>
      <c r="BD1200" s="21"/>
      <c r="BE1200" s="21"/>
      <c r="BF1200" s="21"/>
      <c r="BG1200" s="21"/>
    </row>
    <row r="1201" spans="38:59">
      <c r="AL1201" s="21"/>
      <c r="AM1201" s="24"/>
      <c r="AN1201" s="21"/>
      <c r="AO1201" s="21"/>
      <c r="AP1201" s="64"/>
      <c r="AQ1201" s="64"/>
      <c r="AR1201" s="21"/>
      <c r="AS1201" s="21"/>
      <c r="AT1201" s="21"/>
      <c r="AU1201" s="22"/>
      <c r="AV1201" s="21"/>
      <c r="AW1201" s="21"/>
      <c r="AX1201" s="21"/>
      <c r="AY1201" s="21"/>
      <c r="AZ1201" s="21"/>
      <c r="BA1201" s="21"/>
      <c r="BB1201" s="21"/>
      <c r="BC1201" s="21"/>
      <c r="BD1201" s="21"/>
      <c r="BE1201" s="21"/>
      <c r="BF1201" s="21"/>
      <c r="BG1201" s="21"/>
    </row>
    <row r="1202" spans="38:59">
      <c r="AL1202" s="21"/>
      <c r="AM1202" s="24"/>
      <c r="AN1202" s="21"/>
      <c r="AO1202" s="21"/>
      <c r="AP1202" s="64"/>
      <c r="AQ1202" s="64"/>
      <c r="AR1202" s="21"/>
      <c r="AS1202" s="21"/>
      <c r="AT1202" s="21"/>
      <c r="AU1202" s="22"/>
      <c r="AV1202" s="21"/>
      <c r="AW1202" s="21"/>
      <c r="AX1202" s="21"/>
      <c r="AY1202" s="21"/>
      <c r="AZ1202" s="21"/>
      <c r="BA1202" s="21"/>
      <c r="BB1202" s="21"/>
      <c r="BC1202" s="21"/>
      <c r="BD1202" s="21"/>
      <c r="BE1202" s="21"/>
      <c r="BF1202" s="21"/>
      <c r="BG1202" s="21"/>
    </row>
    <row r="1203" spans="38:59">
      <c r="AL1203" s="21"/>
      <c r="AM1203" s="24"/>
      <c r="AN1203" s="21"/>
      <c r="AO1203" s="21"/>
      <c r="AP1203" s="64"/>
      <c r="AQ1203" s="64"/>
      <c r="AR1203" s="21"/>
      <c r="AS1203" s="21"/>
      <c r="AT1203" s="21"/>
      <c r="AU1203" s="22"/>
      <c r="AV1203" s="21"/>
      <c r="AW1203" s="21"/>
      <c r="AX1203" s="21"/>
      <c r="AY1203" s="21"/>
      <c r="AZ1203" s="21"/>
      <c r="BA1203" s="21"/>
      <c r="BB1203" s="21"/>
      <c r="BC1203" s="21"/>
      <c r="BD1203" s="21"/>
      <c r="BE1203" s="21"/>
      <c r="BF1203" s="21"/>
      <c r="BG1203" s="21"/>
    </row>
    <row r="1204" spans="38:59">
      <c r="AL1204" s="21"/>
      <c r="AM1204" s="24"/>
      <c r="AN1204" s="21"/>
      <c r="AO1204" s="21"/>
      <c r="AP1204" s="64"/>
      <c r="AQ1204" s="64"/>
      <c r="AR1204" s="21"/>
      <c r="AS1204" s="21"/>
      <c r="AT1204" s="21"/>
      <c r="AU1204" s="22"/>
      <c r="AV1204" s="21"/>
      <c r="AW1204" s="21"/>
      <c r="AX1204" s="21"/>
      <c r="AY1204" s="21"/>
      <c r="AZ1204" s="21"/>
      <c r="BA1204" s="21"/>
      <c r="BB1204" s="21"/>
      <c r="BC1204" s="21"/>
      <c r="BD1204" s="21"/>
      <c r="BE1204" s="21"/>
      <c r="BF1204" s="21"/>
      <c r="BG1204" s="21"/>
    </row>
    <row r="1205" spans="38:59">
      <c r="AL1205" s="21"/>
      <c r="AM1205" s="24"/>
      <c r="AN1205" s="21"/>
      <c r="AO1205" s="21"/>
      <c r="AP1205" s="64"/>
      <c r="AQ1205" s="64"/>
      <c r="AR1205" s="21"/>
      <c r="AS1205" s="21"/>
      <c r="AT1205" s="21"/>
      <c r="AU1205" s="22"/>
      <c r="AV1205" s="21"/>
      <c r="AW1205" s="21"/>
      <c r="AX1205" s="21"/>
      <c r="AY1205" s="21"/>
      <c r="AZ1205" s="21"/>
      <c r="BA1205" s="21"/>
      <c r="BB1205" s="21"/>
      <c r="BC1205" s="21"/>
      <c r="BD1205" s="21"/>
      <c r="BE1205" s="21"/>
      <c r="BF1205" s="21"/>
      <c r="BG1205" s="21"/>
    </row>
    <row r="1206" spans="38:59">
      <c r="AL1206" s="21"/>
      <c r="AM1206" s="24"/>
      <c r="AN1206" s="21"/>
      <c r="AO1206" s="21"/>
      <c r="AP1206" s="64"/>
      <c r="AQ1206" s="64"/>
      <c r="AR1206" s="21"/>
      <c r="AS1206" s="21"/>
      <c r="AT1206" s="21"/>
      <c r="AU1206" s="22"/>
      <c r="AV1206" s="21"/>
      <c r="AW1206" s="21"/>
      <c r="AX1206" s="21"/>
      <c r="AY1206" s="21"/>
      <c r="AZ1206" s="21"/>
      <c r="BA1206" s="21"/>
      <c r="BB1206" s="21"/>
      <c r="BC1206" s="21"/>
      <c r="BD1206" s="21"/>
      <c r="BE1206" s="21"/>
      <c r="BF1206" s="21"/>
      <c r="BG1206" s="21"/>
    </row>
    <row r="1207" spans="38:59">
      <c r="AL1207" s="21"/>
      <c r="AM1207" s="24"/>
      <c r="AN1207" s="21"/>
      <c r="AO1207" s="21"/>
      <c r="AP1207" s="64"/>
      <c r="AQ1207" s="64"/>
      <c r="AR1207" s="21"/>
      <c r="AS1207" s="21"/>
      <c r="AT1207" s="21"/>
      <c r="AU1207" s="22"/>
      <c r="AV1207" s="21"/>
      <c r="AW1207" s="21"/>
      <c r="AX1207" s="21"/>
      <c r="AY1207" s="21"/>
      <c r="AZ1207" s="21"/>
      <c r="BA1207" s="21"/>
      <c r="BB1207" s="21"/>
      <c r="BC1207" s="21"/>
      <c r="BD1207" s="21"/>
      <c r="BE1207" s="21"/>
      <c r="BF1207" s="21"/>
      <c r="BG1207" s="21"/>
    </row>
    <row r="1208" spans="38:59">
      <c r="AL1208" s="21"/>
      <c r="AM1208" s="24"/>
      <c r="AN1208" s="21"/>
      <c r="AO1208" s="21"/>
      <c r="AP1208" s="64"/>
      <c r="AQ1208" s="64"/>
      <c r="AR1208" s="21"/>
      <c r="AS1208" s="21"/>
      <c r="AT1208" s="21"/>
      <c r="AU1208" s="22"/>
      <c r="AV1208" s="21"/>
      <c r="AW1208" s="21"/>
      <c r="AX1208" s="21"/>
      <c r="AY1208" s="21"/>
      <c r="AZ1208" s="21"/>
      <c r="BA1208" s="21"/>
      <c r="BB1208" s="21"/>
      <c r="BC1208" s="21"/>
      <c r="BD1208" s="21"/>
      <c r="BE1208" s="21"/>
      <c r="BF1208" s="21"/>
      <c r="BG1208" s="21"/>
    </row>
    <row r="1209" spans="38:59">
      <c r="AL1209" s="21"/>
      <c r="AM1209" s="24"/>
      <c r="AN1209" s="21"/>
      <c r="AO1209" s="21"/>
      <c r="AP1209" s="64"/>
      <c r="AQ1209" s="64"/>
      <c r="AR1209" s="21"/>
      <c r="AS1209" s="21"/>
      <c r="AT1209" s="21"/>
      <c r="AU1209" s="22"/>
      <c r="AV1209" s="21"/>
      <c r="AW1209" s="21"/>
      <c r="AX1209" s="21"/>
      <c r="AY1209" s="21"/>
      <c r="AZ1209" s="21"/>
      <c r="BA1209" s="21"/>
      <c r="BB1209" s="21"/>
      <c r="BC1209" s="21"/>
      <c r="BD1209" s="21"/>
      <c r="BE1209" s="21"/>
      <c r="BF1209" s="21"/>
      <c r="BG1209" s="21"/>
    </row>
    <row r="1210" spans="38:59">
      <c r="AL1210" s="21"/>
      <c r="AM1210" s="24"/>
      <c r="AN1210" s="21"/>
      <c r="AO1210" s="21"/>
      <c r="AP1210" s="64"/>
      <c r="AQ1210" s="64"/>
      <c r="AR1210" s="21"/>
      <c r="AS1210" s="21"/>
      <c r="AT1210" s="21"/>
      <c r="AU1210" s="22"/>
      <c r="AV1210" s="21"/>
      <c r="AW1210" s="21"/>
      <c r="AX1210" s="21"/>
      <c r="AY1210" s="21"/>
      <c r="AZ1210" s="21"/>
      <c r="BA1210" s="21"/>
      <c r="BB1210" s="21"/>
      <c r="BC1210" s="21"/>
      <c r="BD1210" s="21"/>
      <c r="BE1210" s="21"/>
      <c r="BF1210" s="21"/>
      <c r="BG1210" s="21"/>
    </row>
    <row r="1211" spans="38:59">
      <c r="AL1211" s="21"/>
      <c r="AM1211" s="24"/>
      <c r="AN1211" s="21"/>
      <c r="AO1211" s="21"/>
      <c r="AP1211" s="64"/>
      <c r="AQ1211" s="64"/>
      <c r="AR1211" s="21"/>
      <c r="AS1211" s="21"/>
      <c r="AT1211" s="21"/>
      <c r="AU1211" s="22"/>
      <c r="AV1211" s="21"/>
      <c r="AW1211" s="21"/>
      <c r="AX1211" s="21"/>
      <c r="AY1211" s="21"/>
      <c r="AZ1211" s="21"/>
      <c r="BA1211" s="21"/>
      <c r="BB1211" s="21"/>
      <c r="BC1211" s="21"/>
      <c r="BD1211" s="21"/>
      <c r="BE1211" s="21"/>
      <c r="BF1211" s="21"/>
      <c r="BG1211" s="21"/>
    </row>
    <row r="1212" spans="38:59">
      <c r="AL1212" s="21"/>
      <c r="AM1212" s="24"/>
      <c r="AN1212" s="21"/>
      <c r="AO1212" s="21"/>
      <c r="AP1212" s="64"/>
      <c r="AQ1212" s="64"/>
      <c r="AR1212" s="21"/>
      <c r="AS1212" s="21"/>
      <c r="AT1212" s="21"/>
      <c r="AU1212" s="22"/>
      <c r="AV1212" s="21"/>
      <c r="AW1212" s="21"/>
      <c r="AX1212" s="21"/>
      <c r="AY1212" s="21"/>
      <c r="AZ1212" s="21"/>
      <c r="BA1212" s="21"/>
      <c r="BB1212" s="21"/>
      <c r="BC1212" s="21"/>
      <c r="BD1212" s="21"/>
      <c r="BE1212" s="21"/>
      <c r="BF1212" s="21"/>
      <c r="BG1212" s="21"/>
    </row>
    <row r="1213" spans="38:59">
      <c r="AL1213" s="21"/>
      <c r="AM1213" s="24"/>
      <c r="AN1213" s="21"/>
      <c r="AO1213" s="21"/>
      <c r="AP1213" s="64"/>
      <c r="AQ1213" s="64"/>
      <c r="AR1213" s="21"/>
      <c r="AS1213" s="21"/>
      <c r="AT1213" s="21"/>
      <c r="AU1213" s="22"/>
      <c r="AV1213" s="21"/>
      <c r="AW1213" s="21"/>
      <c r="AX1213" s="21"/>
      <c r="AY1213" s="21"/>
      <c r="AZ1213" s="21"/>
      <c r="BA1213" s="21"/>
      <c r="BB1213" s="21"/>
      <c r="BC1213" s="21"/>
      <c r="BD1213" s="21"/>
      <c r="BE1213" s="21"/>
      <c r="BF1213" s="21"/>
      <c r="BG1213" s="21"/>
    </row>
    <row r="1214" spans="38:59">
      <c r="AL1214" s="21"/>
      <c r="AM1214" s="24"/>
      <c r="AN1214" s="21"/>
      <c r="AO1214" s="21"/>
      <c r="AP1214" s="64"/>
      <c r="AQ1214" s="64"/>
      <c r="AR1214" s="21"/>
      <c r="AS1214" s="21"/>
      <c r="AT1214" s="21"/>
      <c r="AU1214" s="22"/>
      <c r="AV1214" s="21"/>
      <c r="AW1214" s="21"/>
      <c r="AX1214" s="21"/>
      <c r="AY1214" s="21"/>
      <c r="AZ1214" s="21"/>
      <c r="BA1214" s="21"/>
      <c r="BB1214" s="21"/>
      <c r="BC1214" s="21"/>
      <c r="BD1214" s="21"/>
      <c r="BE1214" s="21"/>
      <c r="BF1214" s="21"/>
      <c r="BG1214" s="21"/>
    </row>
    <row r="1215" spans="38:59">
      <c r="AL1215" s="21"/>
      <c r="AM1215" s="24"/>
      <c r="AN1215" s="21"/>
      <c r="AO1215" s="21"/>
      <c r="AP1215" s="64"/>
      <c r="AQ1215" s="64"/>
      <c r="AR1215" s="21"/>
      <c r="AS1215" s="21"/>
      <c r="AT1215" s="21"/>
      <c r="AU1215" s="22"/>
      <c r="AV1215" s="21"/>
      <c r="AW1215" s="21"/>
      <c r="AX1215" s="21"/>
      <c r="AY1215" s="21"/>
      <c r="AZ1215" s="21"/>
      <c r="BA1215" s="21"/>
      <c r="BB1215" s="21"/>
      <c r="BC1215" s="21"/>
      <c r="BD1215" s="21"/>
      <c r="BE1215" s="21"/>
      <c r="BF1215" s="21"/>
      <c r="BG1215" s="21"/>
    </row>
    <row r="1216" spans="38:59">
      <c r="AL1216" s="21"/>
      <c r="AM1216" s="24"/>
      <c r="AN1216" s="21"/>
      <c r="AO1216" s="21"/>
      <c r="AP1216" s="64"/>
      <c r="AQ1216" s="64"/>
      <c r="AR1216" s="21"/>
      <c r="AS1216" s="21"/>
      <c r="AT1216" s="21"/>
      <c r="AU1216" s="22"/>
      <c r="AV1216" s="21"/>
      <c r="AW1216" s="21"/>
      <c r="AX1216" s="21"/>
      <c r="AY1216" s="21"/>
      <c r="AZ1216" s="21"/>
      <c r="BA1216" s="21"/>
      <c r="BB1216" s="21"/>
      <c r="BC1216" s="21"/>
      <c r="BD1216" s="21"/>
      <c r="BE1216" s="21"/>
      <c r="BF1216" s="21"/>
      <c r="BG1216" s="21"/>
    </row>
    <row r="1217" spans="38:59">
      <c r="AL1217" s="21"/>
      <c r="AM1217" s="24"/>
      <c r="AN1217" s="21"/>
      <c r="AO1217" s="21"/>
      <c r="AP1217" s="64"/>
      <c r="AQ1217" s="64"/>
      <c r="AR1217" s="21"/>
      <c r="AS1217" s="21"/>
      <c r="AT1217" s="21"/>
      <c r="AU1217" s="22"/>
      <c r="AV1217" s="21"/>
      <c r="AW1217" s="21"/>
      <c r="AX1217" s="21"/>
      <c r="AY1217" s="21"/>
      <c r="AZ1217" s="21"/>
      <c r="BA1217" s="21"/>
      <c r="BB1217" s="21"/>
      <c r="BC1217" s="21"/>
      <c r="BD1217" s="21"/>
      <c r="BE1217" s="21"/>
      <c r="BF1217" s="21"/>
      <c r="BG1217" s="21"/>
    </row>
    <row r="1218" spans="38:59">
      <c r="AL1218" s="21"/>
      <c r="AM1218" s="24"/>
      <c r="AN1218" s="21"/>
      <c r="AO1218" s="21"/>
      <c r="AP1218" s="64"/>
      <c r="AQ1218" s="64"/>
      <c r="AR1218" s="21"/>
      <c r="AS1218" s="21"/>
      <c r="AT1218" s="21"/>
      <c r="AU1218" s="22"/>
      <c r="AV1218" s="21"/>
      <c r="AW1218" s="21"/>
      <c r="AX1218" s="21"/>
      <c r="AY1218" s="21"/>
      <c r="AZ1218" s="21"/>
      <c r="BA1218" s="21"/>
      <c r="BB1218" s="21"/>
      <c r="BC1218" s="21"/>
      <c r="BD1218" s="21"/>
      <c r="BE1218" s="21"/>
      <c r="BF1218" s="21"/>
      <c r="BG1218" s="21"/>
    </row>
    <row r="1219" spans="38:59">
      <c r="AL1219" s="21"/>
      <c r="AM1219" s="24"/>
      <c r="AN1219" s="21"/>
      <c r="AO1219" s="21"/>
      <c r="AP1219" s="64"/>
      <c r="AQ1219" s="64"/>
      <c r="AR1219" s="21"/>
      <c r="AS1219" s="21"/>
      <c r="AT1219" s="21"/>
      <c r="AU1219" s="22"/>
      <c r="AV1219" s="21"/>
      <c r="AW1219" s="21"/>
      <c r="AX1219" s="21"/>
      <c r="AY1219" s="21"/>
      <c r="AZ1219" s="21"/>
      <c r="BA1219" s="21"/>
      <c r="BB1219" s="21"/>
      <c r="BC1219" s="21"/>
      <c r="BD1219" s="21"/>
      <c r="BE1219" s="21"/>
      <c r="BF1219" s="21"/>
      <c r="BG1219" s="21"/>
    </row>
    <row r="1220" spans="38:59">
      <c r="AL1220" s="21"/>
      <c r="AM1220" s="24"/>
      <c r="AN1220" s="21"/>
      <c r="AO1220" s="21"/>
      <c r="AP1220" s="64"/>
      <c r="AQ1220" s="64"/>
      <c r="AR1220" s="21"/>
      <c r="AS1220" s="21"/>
      <c r="AT1220" s="21"/>
      <c r="AU1220" s="22"/>
      <c r="AV1220" s="21"/>
      <c r="AW1220" s="21"/>
      <c r="AX1220" s="21"/>
      <c r="AY1220" s="21"/>
      <c r="AZ1220" s="21"/>
      <c r="BA1220" s="21"/>
      <c r="BB1220" s="21"/>
      <c r="BC1220" s="21"/>
      <c r="BD1220" s="21"/>
      <c r="BE1220" s="21"/>
      <c r="BF1220" s="21"/>
      <c r="BG1220" s="21"/>
    </row>
    <row r="1221" spans="38:59">
      <c r="AL1221" s="21"/>
      <c r="AM1221" s="24"/>
      <c r="AN1221" s="21"/>
      <c r="AO1221" s="21"/>
      <c r="AP1221" s="64"/>
      <c r="AQ1221" s="64"/>
      <c r="AR1221" s="21"/>
      <c r="AS1221" s="21"/>
      <c r="AT1221" s="21"/>
      <c r="AU1221" s="22"/>
      <c r="AV1221" s="21"/>
      <c r="AW1221" s="21"/>
      <c r="AX1221" s="21"/>
      <c r="AY1221" s="21"/>
      <c r="AZ1221" s="21"/>
      <c r="BA1221" s="21"/>
      <c r="BB1221" s="21"/>
      <c r="BC1221" s="21"/>
      <c r="BD1221" s="21"/>
      <c r="BE1221" s="21"/>
      <c r="BF1221" s="21"/>
      <c r="BG1221" s="21"/>
    </row>
    <row r="1222" spans="38:59">
      <c r="AL1222" s="21"/>
      <c r="AM1222" s="24"/>
      <c r="AN1222" s="21"/>
      <c r="AO1222" s="21"/>
      <c r="AP1222" s="64"/>
      <c r="AQ1222" s="64"/>
      <c r="AR1222" s="21"/>
      <c r="AS1222" s="21"/>
      <c r="AT1222" s="21"/>
      <c r="AU1222" s="22"/>
      <c r="AV1222" s="21"/>
      <c r="AW1222" s="21"/>
      <c r="AX1222" s="21"/>
      <c r="AY1222" s="21"/>
      <c r="AZ1222" s="21"/>
      <c r="BA1222" s="21"/>
      <c r="BB1222" s="21"/>
      <c r="BC1222" s="21"/>
      <c r="BD1222" s="21"/>
      <c r="BE1222" s="21"/>
      <c r="BF1222" s="21"/>
      <c r="BG1222" s="21"/>
    </row>
    <row r="1223" spans="38:59">
      <c r="AL1223" s="21"/>
      <c r="AM1223" s="24"/>
      <c r="AN1223" s="21"/>
      <c r="AO1223" s="21"/>
      <c r="AP1223" s="64"/>
      <c r="AQ1223" s="64"/>
      <c r="AR1223" s="21"/>
      <c r="AS1223" s="21"/>
      <c r="AT1223" s="21"/>
      <c r="AU1223" s="22"/>
      <c r="AV1223" s="21"/>
      <c r="AW1223" s="21"/>
      <c r="AX1223" s="21"/>
      <c r="AY1223" s="21"/>
      <c r="AZ1223" s="21"/>
      <c r="BA1223" s="21"/>
      <c r="BB1223" s="21"/>
      <c r="BC1223" s="21"/>
      <c r="BD1223" s="21"/>
      <c r="BE1223" s="21"/>
      <c r="BF1223" s="21"/>
      <c r="BG1223" s="21"/>
    </row>
    <row r="1224" spans="38:59">
      <c r="AL1224" s="21"/>
      <c r="AM1224" s="24"/>
      <c r="AN1224" s="21"/>
      <c r="AO1224" s="21"/>
      <c r="AP1224" s="64"/>
      <c r="AQ1224" s="64"/>
      <c r="AR1224" s="21"/>
      <c r="AS1224" s="21"/>
      <c r="AT1224" s="21"/>
      <c r="AU1224" s="22"/>
      <c r="AV1224" s="21"/>
      <c r="AW1224" s="21"/>
      <c r="AX1224" s="21"/>
      <c r="AY1224" s="21"/>
      <c r="AZ1224" s="21"/>
      <c r="BA1224" s="21"/>
      <c r="BB1224" s="21"/>
      <c r="BC1224" s="21"/>
      <c r="BD1224" s="21"/>
      <c r="BE1224" s="21"/>
      <c r="BF1224" s="21"/>
      <c r="BG1224" s="21"/>
    </row>
    <row r="1225" spans="38:59">
      <c r="AL1225" s="21"/>
      <c r="AM1225" s="24"/>
      <c r="AN1225" s="21"/>
      <c r="AO1225" s="21"/>
      <c r="AP1225" s="64"/>
      <c r="AQ1225" s="64"/>
      <c r="AR1225" s="21"/>
      <c r="AS1225" s="21"/>
      <c r="AT1225" s="21"/>
      <c r="AU1225" s="22"/>
      <c r="AV1225" s="21"/>
      <c r="AW1225" s="21"/>
      <c r="AX1225" s="21"/>
      <c r="AY1225" s="21"/>
      <c r="AZ1225" s="21"/>
      <c r="BA1225" s="21"/>
      <c r="BB1225" s="21"/>
      <c r="BC1225" s="21"/>
      <c r="BD1225" s="21"/>
      <c r="BE1225" s="21"/>
      <c r="BF1225" s="21"/>
      <c r="BG1225" s="21"/>
    </row>
    <row r="1226" spans="38:59">
      <c r="AL1226" s="21"/>
      <c r="AM1226" s="24"/>
      <c r="AN1226" s="21"/>
      <c r="AO1226" s="21"/>
      <c r="AP1226" s="64"/>
      <c r="AQ1226" s="64"/>
      <c r="AR1226" s="21"/>
      <c r="AS1226" s="21"/>
      <c r="AT1226" s="21"/>
      <c r="AU1226" s="22"/>
      <c r="AV1226" s="21"/>
      <c r="AW1226" s="21"/>
      <c r="AX1226" s="21"/>
      <c r="AY1226" s="21"/>
      <c r="AZ1226" s="21"/>
      <c r="BA1226" s="21"/>
      <c r="BB1226" s="21"/>
      <c r="BC1226" s="21"/>
      <c r="BD1226" s="21"/>
      <c r="BE1226" s="21"/>
      <c r="BF1226" s="21"/>
      <c r="BG1226" s="21"/>
    </row>
    <row r="1227" spans="38:59">
      <c r="AL1227" s="21"/>
      <c r="AM1227" s="24"/>
      <c r="AN1227" s="21"/>
      <c r="AO1227" s="21"/>
      <c r="AP1227" s="64"/>
      <c r="AQ1227" s="64"/>
      <c r="AR1227" s="21"/>
      <c r="AS1227" s="21"/>
      <c r="AT1227" s="21"/>
      <c r="AU1227" s="22"/>
      <c r="AV1227" s="21"/>
      <c r="AW1227" s="21"/>
      <c r="AX1227" s="21"/>
      <c r="AY1227" s="21"/>
      <c r="AZ1227" s="21"/>
      <c r="BA1227" s="21"/>
      <c r="BB1227" s="21"/>
      <c r="BC1227" s="21"/>
      <c r="BD1227" s="21"/>
      <c r="BE1227" s="21"/>
      <c r="BF1227" s="21"/>
      <c r="BG1227" s="21"/>
    </row>
    <row r="1228" spans="38:59">
      <c r="AL1228" s="21"/>
      <c r="AM1228" s="24"/>
      <c r="AN1228" s="21"/>
      <c r="AO1228" s="21"/>
      <c r="AP1228" s="64"/>
      <c r="AQ1228" s="64"/>
      <c r="AR1228" s="21"/>
      <c r="AS1228" s="21"/>
      <c r="AT1228" s="21"/>
      <c r="AU1228" s="22"/>
      <c r="AV1228" s="21"/>
      <c r="AW1228" s="21"/>
      <c r="AX1228" s="21"/>
      <c r="AY1228" s="21"/>
      <c r="AZ1228" s="21"/>
      <c r="BA1228" s="21"/>
      <c r="BB1228" s="21"/>
      <c r="BC1228" s="21"/>
      <c r="BD1228" s="21"/>
      <c r="BE1228" s="21"/>
      <c r="BF1228" s="21"/>
      <c r="BG1228" s="21"/>
    </row>
    <row r="1229" spans="38:59">
      <c r="AL1229" s="21"/>
      <c r="AM1229" s="24"/>
      <c r="AN1229" s="21"/>
      <c r="AO1229" s="21"/>
      <c r="AP1229" s="64"/>
      <c r="AQ1229" s="64"/>
      <c r="AR1229" s="21"/>
      <c r="AS1229" s="21"/>
      <c r="AT1229" s="21"/>
      <c r="AU1229" s="22"/>
      <c r="AV1229" s="21"/>
      <c r="AW1229" s="21"/>
      <c r="AX1229" s="21"/>
      <c r="AY1229" s="21"/>
      <c r="AZ1229" s="21"/>
      <c r="BA1229" s="21"/>
      <c r="BB1229" s="21"/>
      <c r="BC1229" s="21"/>
      <c r="BD1229" s="21"/>
      <c r="BE1229" s="21"/>
      <c r="BF1229" s="21"/>
      <c r="BG1229" s="21"/>
    </row>
    <row r="1230" spans="38:59">
      <c r="AL1230" s="21"/>
      <c r="AM1230" s="24"/>
      <c r="AN1230" s="21"/>
      <c r="AO1230" s="21"/>
      <c r="AP1230" s="64"/>
      <c r="AQ1230" s="64"/>
      <c r="AR1230" s="21"/>
      <c r="AS1230" s="21"/>
      <c r="AT1230" s="21"/>
      <c r="AU1230" s="22"/>
      <c r="AV1230" s="21"/>
      <c r="AW1230" s="21"/>
      <c r="AX1230" s="21"/>
      <c r="AY1230" s="21"/>
      <c r="AZ1230" s="21"/>
      <c r="BA1230" s="21"/>
      <c r="BB1230" s="21"/>
      <c r="BC1230" s="21"/>
      <c r="BD1230" s="21"/>
      <c r="BE1230" s="21"/>
      <c r="BF1230" s="21"/>
      <c r="BG1230" s="21"/>
    </row>
    <row r="1231" spans="38:59">
      <c r="AL1231" s="21"/>
      <c r="AM1231" s="24"/>
      <c r="AN1231" s="21"/>
      <c r="AO1231" s="21"/>
      <c r="AP1231" s="64"/>
      <c r="AQ1231" s="64"/>
      <c r="AR1231" s="21"/>
      <c r="AS1231" s="21"/>
      <c r="AT1231" s="21"/>
      <c r="AU1231" s="22"/>
      <c r="AV1231" s="21"/>
      <c r="AW1231" s="21"/>
      <c r="AX1231" s="21"/>
      <c r="AY1231" s="21"/>
      <c r="AZ1231" s="21"/>
      <c r="BA1231" s="21"/>
      <c r="BB1231" s="21"/>
      <c r="BC1231" s="21"/>
      <c r="BD1231" s="21"/>
      <c r="BE1231" s="21"/>
      <c r="BF1231" s="21"/>
      <c r="BG1231" s="21"/>
    </row>
    <row r="1232" spans="38:59">
      <c r="AL1232" s="21"/>
      <c r="AM1232" s="24"/>
      <c r="AN1232" s="21"/>
      <c r="AO1232" s="21"/>
      <c r="AP1232" s="64"/>
      <c r="AQ1232" s="64"/>
      <c r="AR1232" s="21"/>
      <c r="AS1232" s="21"/>
      <c r="AT1232" s="21"/>
      <c r="AU1232" s="22"/>
      <c r="AV1232" s="21"/>
      <c r="AW1232" s="21"/>
      <c r="AX1232" s="21"/>
      <c r="AY1232" s="21"/>
      <c r="AZ1232" s="21"/>
      <c r="BA1232" s="21"/>
      <c r="BB1232" s="21"/>
      <c r="BC1232" s="21"/>
      <c r="BD1232" s="21"/>
      <c r="BE1232" s="21"/>
      <c r="BF1232" s="21"/>
      <c r="BG1232" s="21"/>
    </row>
    <row r="1233" spans="38:59">
      <c r="AL1233" s="21"/>
      <c r="AM1233" s="24"/>
      <c r="AN1233" s="21"/>
      <c r="AO1233" s="21"/>
      <c r="AP1233" s="64"/>
      <c r="AQ1233" s="64"/>
      <c r="AR1233" s="21"/>
      <c r="AS1233" s="21"/>
      <c r="AT1233" s="21"/>
      <c r="AU1233" s="22"/>
      <c r="AV1233" s="21"/>
      <c r="AW1233" s="21"/>
      <c r="AX1233" s="21"/>
      <c r="AY1233" s="21"/>
      <c r="AZ1233" s="21"/>
      <c r="BA1233" s="21"/>
      <c r="BB1233" s="21"/>
      <c r="BC1233" s="21"/>
      <c r="BD1233" s="21"/>
      <c r="BE1233" s="21"/>
      <c r="BF1233" s="21"/>
      <c r="BG1233" s="21"/>
    </row>
    <row r="1234" spans="38:59">
      <c r="AL1234" s="21"/>
      <c r="AM1234" s="24"/>
      <c r="AN1234" s="21"/>
      <c r="AO1234" s="21"/>
      <c r="AP1234" s="64"/>
      <c r="AQ1234" s="64"/>
      <c r="AR1234" s="21"/>
      <c r="AS1234" s="21"/>
      <c r="AT1234" s="21"/>
      <c r="AU1234" s="22"/>
      <c r="AV1234" s="21"/>
      <c r="AW1234" s="21"/>
      <c r="AX1234" s="21"/>
      <c r="AY1234" s="21"/>
      <c r="AZ1234" s="21"/>
      <c r="BA1234" s="21"/>
      <c r="BB1234" s="21"/>
      <c r="BC1234" s="21"/>
      <c r="BD1234" s="21"/>
      <c r="BE1234" s="21"/>
      <c r="BF1234" s="21"/>
      <c r="BG1234" s="21"/>
    </row>
    <row r="1235" spans="38:59">
      <c r="AL1235" s="21"/>
      <c r="AM1235" s="24"/>
      <c r="AN1235" s="21"/>
      <c r="AO1235" s="21"/>
      <c r="AP1235" s="64"/>
      <c r="AQ1235" s="64"/>
      <c r="AR1235" s="21"/>
      <c r="AS1235" s="21"/>
      <c r="AT1235" s="21"/>
      <c r="AU1235" s="22"/>
      <c r="AV1235" s="21"/>
      <c r="AW1235" s="21"/>
      <c r="AX1235" s="21"/>
      <c r="AY1235" s="21"/>
      <c r="AZ1235" s="21"/>
      <c r="BA1235" s="21"/>
      <c r="BB1235" s="21"/>
      <c r="BC1235" s="21"/>
      <c r="BD1235" s="21"/>
      <c r="BE1235" s="21"/>
      <c r="BF1235" s="21"/>
      <c r="BG1235" s="21"/>
    </row>
    <row r="1236" spans="38:59">
      <c r="AL1236" s="21"/>
      <c r="AM1236" s="24"/>
      <c r="AN1236" s="21"/>
      <c r="AO1236" s="21"/>
      <c r="AP1236" s="64"/>
      <c r="AQ1236" s="64"/>
      <c r="AR1236" s="21"/>
      <c r="AS1236" s="21"/>
      <c r="AT1236" s="21"/>
      <c r="AU1236" s="22"/>
      <c r="AV1236" s="21"/>
      <c r="AW1236" s="21"/>
      <c r="AX1236" s="21"/>
      <c r="AY1236" s="21"/>
      <c r="AZ1236" s="21"/>
      <c r="BA1236" s="21"/>
      <c r="BB1236" s="21"/>
      <c r="BC1236" s="21"/>
      <c r="BD1236" s="21"/>
      <c r="BE1236" s="21"/>
      <c r="BF1236" s="21"/>
      <c r="BG1236" s="21"/>
    </row>
    <row r="1237" spans="38:59">
      <c r="AL1237" s="21"/>
      <c r="AM1237" s="24"/>
      <c r="AN1237" s="21"/>
      <c r="AO1237" s="21"/>
      <c r="AP1237" s="64"/>
      <c r="AQ1237" s="64"/>
      <c r="AR1237" s="21"/>
      <c r="AS1237" s="21"/>
      <c r="AT1237" s="21"/>
      <c r="AU1237" s="22"/>
      <c r="AV1237" s="21"/>
      <c r="AW1237" s="21"/>
      <c r="AX1237" s="21"/>
      <c r="AY1237" s="21"/>
      <c r="AZ1237" s="21"/>
      <c r="BA1237" s="21"/>
      <c r="BB1237" s="21"/>
      <c r="BC1237" s="21"/>
      <c r="BD1237" s="21"/>
      <c r="BE1237" s="21"/>
      <c r="BF1237" s="21"/>
      <c r="BG1237" s="21"/>
    </row>
    <row r="1238" spans="38:59">
      <c r="AL1238" s="21"/>
      <c r="AM1238" s="24"/>
      <c r="AN1238" s="21"/>
      <c r="AO1238" s="21"/>
      <c r="AP1238" s="64"/>
      <c r="AQ1238" s="64"/>
      <c r="AR1238" s="21"/>
      <c r="AS1238" s="21"/>
      <c r="AT1238" s="21"/>
      <c r="AU1238" s="22"/>
      <c r="AV1238" s="21"/>
      <c r="AW1238" s="21"/>
      <c r="AX1238" s="21"/>
      <c r="AY1238" s="21"/>
      <c r="AZ1238" s="21"/>
      <c r="BA1238" s="21"/>
      <c r="BB1238" s="21"/>
      <c r="BC1238" s="21"/>
      <c r="BD1238" s="21"/>
      <c r="BE1238" s="21"/>
      <c r="BF1238" s="21"/>
      <c r="BG1238" s="21"/>
    </row>
    <row r="1239" spans="38:59">
      <c r="AL1239" s="21"/>
      <c r="AM1239" s="24"/>
      <c r="AN1239" s="21"/>
      <c r="AO1239" s="21"/>
      <c r="AP1239" s="64"/>
      <c r="AQ1239" s="64"/>
      <c r="AR1239" s="21"/>
      <c r="AS1239" s="21"/>
      <c r="AT1239" s="21"/>
      <c r="AU1239" s="22"/>
      <c r="AV1239" s="21"/>
      <c r="AW1239" s="21"/>
      <c r="AX1239" s="21"/>
      <c r="AY1239" s="21"/>
      <c r="AZ1239" s="21"/>
      <c r="BA1239" s="21"/>
      <c r="BB1239" s="21"/>
      <c r="BC1239" s="21"/>
      <c r="BD1239" s="21"/>
      <c r="BE1239" s="21"/>
      <c r="BF1239" s="21"/>
      <c r="BG1239" s="21"/>
    </row>
    <row r="1240" spans="38:59">
      <c r="AL1240" s="21"/>
      <c r="AM1240" s="24"/>
      <c r="AN1240" s="21"/>
      <c r="AO1240" s="21"/>
      <c r="AP1240" s="64"/>
      <c r="AQ1240" s="64"/>
      <c r="AR1240" s="21"/>
      <c r="AS1240" s="21"/>
      <c r="AT1240" s="21"/>
      <c r="AU1240" s="22"/>
      <c r="AV1240" s="21"/>
      <c r="AW1240" s="21"/>
      <c r="AX1240" s="21"/>
      <c r="AY1240" s="21"/>
      <c r="AZ1240" s="21"/>
      <c r="BA1240" s="21"/>
      <c r="BB1240" s="21"/>
      <c r="BC1240" s="21"/>
      <c r="BD1240" s="21"/>
      <c r="BE1240" s="21"/>
      <c r="BF1240" s="21"/>
      <c r="BG1240" s="21"/>
    </row>
    <row r="1241" spans="38:59">
      <c r="AL1241" s="21"/>
      <c r="AM1241" s="24"/>
      <c r="AN1241" s="21"/>
      <c r="AO1241" s="21"/>
      <c r="AP1241" s="64"/>
      <c r="AQ1241" s="64"/>
      <c r="AR1241" s="21"/>
      <c r="AS1241" s="21"/>
      <c r="AT1241" s="21"/>
      <c r="AU1241" s="22"/>
      <c r="AV1241" s="21"/>
      <c r="AW1241" s="21"/>
      <c r="AX1241" s="21"/>
      <c r="AY1241" s="21"/>
      <c r="AZ1241" s="21"/>
      <c r="BA1241" s="21"/>
      <c r="BB1241" s="21"/>
      <c r="BC1241" s="21"/>
      <c r="BD1241" s="21"/>
      <c r="BE1241" s="21"/>
      <c r="BF1241" s="21"/>
      <c r="BG1241" s="21"/>
    </row>
    <row r="1242" spans="38:59">
      <c r="AL1242" s="21"/>
      <c r="AM1242" s="24"/>
      <c r="AN1242" s="21"/>
      <c r="AO1242" s="21"/>
      <c r="AP1242" s="64"/>
      <c r="AQ1242" s="64"/>
      <c r="AR1242" s="21"/>
      <c r="AS1242" s="21"/>
      <c r="AT1242" s="21"/>
      <c r="AU1242" s="22"/>
      <c r="AV1242" s="21"/>
      <c r="AW1242" s="21"/>
      <c r="AX1242" s="21"/>
      <c r="AY1242" s="21"/>
      <c r="AZ1242" s="21"/>
      <c r="BA1242" s="21"/>
      <c r="BB1242" s="21"/>
      <c r="BC1242" s="21"/>
      <c r="BD1242" s="21"/>
      <c r="BE1242" s="21"/>
      <c r="BF1242" s="21"/>
      <c r="BG1242" s="21"/>
    </row>
    <row r="1243" spans="38:59">
      <c r="AL1243" s="21"/>
      <c r="AM1243" s="24"/>
      <c r="AN1243" s="21"/>
      <c r="AO1243" s="21"/>
      <c r="AP1243" s="64"/>
      <c r="AQ1243" s="64"/>
      <c r="AR1243" s="21"/>
      <c r="AS1243" s="21"/>
      <c r="AT1243" s="21"/>
      <c r="AU1243" s="22"/>
      <c r="AV1243" s="21"/>
      <c r="AW1243" s="21"/>
      <c r="AX1243" s="21"/>
      <c r="AY1243" s="21"/>
      <c r="AZ1243" s="21"/>
      <c r="BA1243" s="21"/>
      <c r="BB1243" s="21"/>
      <c r="BC1243" s="21"/>
      <c r="BD1243" s="21"/>
      <c r="BE1243" s="21"/>
      <c r="BF1243" s="21"/>
      <c r="BG1243" s="21"/>
    </row>
    <row r="1244" spans="38:59">
      <c r="AL1244" s="21"/>
      <c r="AM1244" s="24"/>
      <c r="AN1244" s="21"/>
      <c r="AO1244" s="21"/>
      <c r="AP1244" s="64"/>
      <c r="AQ1244" s="64"/>
      <c r="AR1244" s="21"/>
      <c r="AS1244" s="21"/>
      <c r="AT1244" s="21"/>
      <c r="AU1244" s="22"/>
      <c r="AV1244" s="21"/>
      <c r="AW1244" s="21"/>
      <c r="AX1244" s="21"/>
      <c r="AY1244" s="21"/>
      <c r="AZ1244" s="21"/>
      <c r="BA1244" s="21"/>
      <c r="BB1244" s="21"/>
      <c r="BC1244" s="21"/>
      <c r="BD1244" s="21"/>
      <c r="BE1244" s="21"/>
      <c r="BF1244" s="21"/>
      <c r="BG1244" s="21"/>
    </row>
    <row r="1245" spans="38:59">
      <c r="AL1245" s="21"/>
      <c r="AM1245" s="24"/>
      <c r="AN1245" s="21"/>
      <c r="AO1245" s="21"/>
      <c r="AP1245" s="64"/>
      <c r="AQ1245" s="64"/>
      <c r="AR1245" s="21"/>
      <c r="AS1245" s="21"/>
      <c r="AT1245" s="21"/>
      <c r="AU1245" s="22"/>
      <c r="AV1245" s="21"/>
      <c r="AW1245" s="21"/>
      <c r="AX1245" s="21"/>
      <c r="AY1245" s="21"/>
      <c r="AZ1245" s="21"/>
      <c r="BA1245" s="21"/>
      <c r="BB1245" s="21"/>
      <c r="BC1245" s="21"/>
      <c r="BD1245" s="21"/>
      <c r="BE1245" s="21"/>
      <c r="BF1245" s="21"/>
      <c r="BG1245" s="21"/>
    </row>
    <row r="1246" spans="38:59">
      <c r="AL1246" s="21"/>
      <c r="AM1246" s="24"/>
      <c r="AN1246" s="21"/>
      <c r="AO1246" s="21"/>
      <c r="AP1246" s="64"/>
      <c r="AQ1246" s="64"/>
      <c r="AR1246" s="21"/>
      <c r="AS1246" s="21"/>
      <c r="AT1246" s="21"/>
      <c r="AU1246" s="22"/>
      <c r="AV1246" s="21"/>
      <c r="AW1246" s="21"/>
      <c r="AX1246" s="21"/>
      <c r="AY1246" s="21"/>
      <c r="AZ1246" s="21"/>
      <c r="BA1246" s="21"/>
      <c r="BB1246" s="21"/>
      <c r="BC1246" s="21"/>
      <c r="BD1246" s="21"/>
      <c r="BE1246" s="21"/>
      <c r="BF1246" s="21"/>
      <c r="BG1246" s="21"/>
    </row>
    <row r="1247" spans="38:59">
      <c r="AL1247" s="21"/>
      <c r="AM1247" s="24"/>
      <c r="AN1247" s="21"/>
      <c r="AO1247" s="21"/>
      <c r="AP1247" s="64"/>
      <c r="AQ1247" s="64"/>
      <c r="AR1247" s="21"/>
      <c r="AS1247" s="21"/>
      <c r="AT1247" s="21"/>
      <c r="AU1247" s="22"/>
      <c r="AV1247" s="21"/>
      <c r="AW1247" s="21"/>
      <c r="AX1247" s="21"/>
      <c r="AY1247" s="21"/>
      <c r="AZ1247" s="21"/>
      <c r="BA1247" s="21"/>
      <c r="BB1247" s="21"/>
      <c r="BC1247" s="21"/>
      <c r="BD1247" s="21"/>
      <c r="BE1247" s="21"/>
      <c r="BF1247" s="21"/>
      <c r="BG1247" s="21"/>
    </row>
    <row r="1248" spans="38:59">
      <c r="AL1248" s="21"/>
      <c r="AM1248" s="24"/>
      <c r="AN1248" s="21"/>
      <c r="AO1248" s="21"/>
      <c r="AP1248" s="64"/>
      <c r="AQ1248" s="64"/>
      <c r="AR1248" s="21"/>
      <c r="AS1248" s="21"/>
      <c r="AT1248" s="21"/>
      <c r="AU1248" s="22"/>
      <c r="AV1248" s="21"/>
      <c r="AW1248" s="21"/>
      <c r="AX1248" s="21"/>
      <c r="AY1248" s="21"/>
      <c r="AZ1248" s="21"/>
      <c r="BA1248" s="21"/>
      <c r="BB1248" s="21"/>
      <c r="BC1248" s="21"/>
      <c r="BD1248" s="21"/>
      <c r="BE1248" s="21"/>
      <c r="BF1248" s="21"/>
      <c r="BG1248" s="21"/>
    </row>
    <row r="1249" spans="38:59">
      <c r="AL1249" s="21"/>
      <c r="AM1249" s="24"/>
      <c r="AN1249" s="21"/>
      <c r="AO1249" s="21"/>
      <c r="AP1249" s="64"/>
      <c r="AQ1249" s="64"/>
      <c r="AR1249" s="21"/>
      <c r="AS1249" s="21"/>
      <c r="AT1249" s="21"/>
      <c r="AU1249" s="22"/>
      <c r="AV1249" s="21"/>
      <c r="AW1249" s="21"/>
      <c r="AX1249" s="21"/>
      <c r="AY1249" s="21"/>
      <c r="AZ1249" s="21"/>
      <c r="BA1249" s="21"/>
      <c r="BB1249" s="21"/>
      <c r="BC1249" s="21"/>
      <c r="BD1249" s="21"/>
      <c r="BE1249" s="21"/>
      <c r="BF1249" s="21"/>
      <c r="BG1249" s="21"/>
    </row>
    <row r="1250" spans="38:59">
      <c r="AL1250" s="21"/>
      <c r="AM1250" s="24"/>
      <c r="AN1250" s="21"/>
      <c r="AO1250" s="21"/>
      <c r="AP1250" s="64"/>
      <c r="AQ1250" s="64"/>
      <c r="AR1250" s="21"/>
      <c r="AS1250" s="21"/>
      <c r="AT1250" s="21"/>
      <c r="AU1250" s="22"/>
      <c r="AV1250" s="21"/>
      <c r="AW1250" s="21"/>
      <c r="AX1250" s="21"/>
      <c r="AY1250" s="21"/>
      <c r="AZ1250" s="21"/>
      <c r="BA1250" s="21"/>
      <c r="BB1250" s="21"/>
      <c r="BC1250" s="21"/>
      <c r="BD1250" s="21"/>
      <c r="BE1250" s="21"/>
      <c r="BF1250" s="21"/>
      <c r="BG1250" s="21"/>
    </row>
    <row r="1251" spans="38:59">
      <c r="AL1251" s="21"/>
      <c r="AM1251" s="24"/>
      <c r="AN1251" s="21"/>
      <c r="AO1251" s="21"/>
      <c r="AP1251" s="64"/>
      <c r="AQ1251" s="64"/>
      <c r="AR1251" s="21"/>
      <c r="AS1251" s="21"/>
      <c r="AT1251" s="21"/>
      <c r="AU1251" s="22"/>
      <c r="AV1251" s="21"/>
      <c r="AW1251" s="21"/>
      <c r="AX1251" s="21"/>
      <c r="AY1251" s="21"/>
      <c r="AZ1251" s="21"/>
      <c r="BA1251" s="21"/>
      <c r="BB1251" s="21"/>
      <c r="BC1251" s="21"/>
      <c r="BD1251" s="21"/>
      <c r="BE1251" s="21"/>
      <c r="BF1251" s="21"/>
      <c r="BG1251" s="21"/>
    </row>
    <row r="1252" spans="38:59">
      <c r="AL1252" s="21"/>
      <c r="AM1252" s="24"/>
      <c r="AN1252" s="21"/>
      <c r="AO1252" s="21"/>
      <c r="AP1252" s="64"/>
      <c r="AQ1252" s="64"/>
      <c r="AR1252" s="21"/>
      <c r="AS1252" s="21"/>
      <c r="AT1252" s="21"/>
      <c r="AU1252" s="22"/>
      <c r="AV1252" s="21"/>
      <c r="AW1252" s="21"/>
      <c r="AX1252" s="21"/>
      <c r="AY1252" s="21"/>
      <c r="AZ1252" s="21"/>
      <c r="BA1252" s="21"/>
      <c r="BB1252" s="21"/>
      <c r="BC1252" s="21"/>
      <c r="BD1252" s="21"/>
      <c r="BE1252" s="21"/>
      <c r="BF1252" s="21"/>
      <c r="BG1252" s="21"/>
    </row>
    <row r="1253" spans="38:59">
      <c r="AL1253" s="21"/>
      <c r="AM1253" s="24"/>
      <c r="AN1253" s="21"/>
      <c r="AO1253" s="21"/>
      <c r="AP1253" s="64"/>
      <c r="AQ1253" s="64"/>
      <c r="AR1253" s="21"/>
      <c r="AS1253" s="21"/>
      <c r="AT1253" s="21"/>
      <c r="AU1253" s="22"/>
      <c r="AV1253" s="21"/>
      <c r="AW1253" s="21"/>
      <c r="AX1253" s="21"/>
      <c r="AY1253" s="21"/>
      <c r="AZ1253" s="21"/>
      <c r="BA1253" s="21"/>
      <c r="BB1253" s="21"/>
      <c r="BC1253" s="21"/>
      <c r="BD1253" s="21"/>
      <c r="BE1253" s="21"/>
      <c r="BF1253" s="21"/>
      <c r="BG1253" s="21"/>
    </row>
    <row r="1254" spans="38:59">
      <c r="AL1254" s="21"/>
      <c r="AM1254" s="24"/>
      <c r="AN1254" s="21"/>
      <c r="AO1254" s="21"/>
      <c r="AP1254" s="64"/>
      <c r="AQ1254" s="64"/>
      <c r="AR1254" s="21"/>
      <c r="AS1254" s="21"/>
      <c r="AT1254" s="21"/>
      <c r="AU1254" s="22"/>
      <c r="AV1254" s="21"/>
      <c r="AW1254" s="21"/>
      <c r="AX1254" s="21"/>
      <c r="AY1254" s="21"/>
      <c r="AZ1254" s="21"/>
      <c r="BA1254" s="21"/>
      <c r="BB1254" s="21"/>
      <c r="BC1254" s="21"/>
      <c r="BD1254" s="21"/>
      <c r="BE1254" s="21"/>
      <c r="BF1254" s="21"/>
      <c r="BG1254" s="21"/>
    </row>
    <row r="1255" spans="38:59">
      <c r="AL1255" s="21"/>
      <c r="AM1255" s="24"/>
      <c r="AN1255" s="21"/>
      <c r="AO1255" s="21"/>
      <c r="AP1255" s="64"/>
      <c r="AQ1255" s="64"/>
      <c r="AR1255" s="21"/>
      <c r="AS1255" s="21"/>
      <c r="AT1255" s="21"/>
      <c r="AU1255" s="22"/>
      <c r="AV1255" s="21"/>
      <c r="AW1255" s="21"/>
      <c r="AX1255" s="21"/>
      <c r="AY1255" s="21"/>
      <c r="AZ1255" s="21"/>
      <c r="BA1255" s="21"/>
      <c r="BB1255" s="21"/>
      <c r="BC1255" s="21"/>
      <c r="BD1255" s="21"/>
      <c r="BE1255" s="21"/>
      <c r="BF1255" s="21"/>
      <c r="BG1255" s="21"/>
    </row>
    <row r="1256" spans="38:59">
      <c r="AL1256" s="21"/>
      <c r="AM1256" s="24"/>
      <c r="AN1256" s="21"/>
      <c r="AO1256" s="21"/>
      <c r="AP1256" s="64"/>
      <c r="AQ1256" s="64"/>
      <c r="AR1256" s="21"/>
      <c r="AS1256" s="21"/>
      <c r="AT1256" s="21"/>
      <c r="AU1256" s="22"/>
      <c r="AV1256" s="21"/>
      <c r="AW1256" s="21"/>
      <c r="AX1256" s="21"/>
      <c r="AY1256" s="21"/>
      <c r="AZ1256" s="21"/>
      <c r="BA1256" s="21"/>
      <c r="BB1256" s="21"/>
      <c r="BC1256" s="21"/>
      <c r="BD1256" s="21"/>
      <c r="BE1256" s="21"/>
      <c r="BF1256" s="21"/>
      <c r="BG1256" s="21"/>
    </row>
    <row r="1257" spans="38:59">
      <c r="AL1257" s="21"/>
      <c r="AM1257" s="24"/>
      <c r="AN1257" s="21"/>
      <c r="AO1257" s="21"/>
      <c r="AP1257" s="64"/>
      <c r="AQ1257" s="64"/>
      <c r="AR1257" s="21"/>
      <c r="AS1257" s="21"/>
      <c r="AT1257" s="21"/>
      <c r="AU1257" s="22"/>
      <c r="AV1257" s="21"/>
      <c r="AW1257" s="21"/>
      <c r="AX1257" s="21"/>
      <c r="AY1257" s="21"/>
      <c r="AZ1257" s="21"/>
      <c r="BA1257" s="21"/>
      <c r="BB1257" s="21"/>
      <c r="BC1257" s="21"/>
      <c r="BD1257" s="21"/>
      <c r="BE1257" s="21"/>
      <c r="BF1257" s="21"/>
      <c r="BG1257" s="21"/>
    </row>
    <row r="1258" spans="38:59">
      <c r="AL1258" s="21"/>
      <c r="AM1258" s="24"/>
      <c r="AN1258" s="21"/>
      <c r="AO1258" s="21"/>
      <c r="AP1258" s="64"/>
      <c r="AQ1258" s="64"/>
      <c r="AR1258" s="21"/>
      <c r="AS1258" s="21"/>
      <c r="AT1258" s="21"/>
      <c r="AU1258" s="22"/>
      <c r="AV1258" s="21"/>
      <c r="AW1258" s="21"/>
      <c r="AX1258" s="21"/>
      <c r="AY1258" s="21"/>
      <c r="AZ1258" s="21"/>
      <c r="BA1258" s="21"/>
      <c r="BB1258" s="21"/>
      <c r="BC1258" s="21"/>
      <c r="BD1258" s="21"/>
      <c r="BE1258" s="21"/>
      <c r="BF1258" s="21"/>
      <c r="BG1258" s="21"/>
    </row>
    <row r="1259" spans="38:59">
      <c r="AL1259" s="21"/>
      <c r="AM1259" s="24"/>
      <c r="AN1259" s="21"/>
      <c r="AO1259" s="21"/>
      <c r="AP1259" s="64"/>
      <c r="AQ1259" s="64"/>
      <c r="AR1259" s="21"/>
      <c r="AS1259" s="21"/>
      <c r="AT1259" s="21"/>
      <c r="AU1259" s="22"/>
      <c r="AV1259" s="21"/>
      <c r="AW1259" s="21"/>
      <c r="AX1259" s="21"/>
      <c r="AY1259" s="21"/>
      <c r="AZ1259" s="21"/>
      <c r="BA1259" s="21"/>
      <c r="BB1259" s="21"/>
      <c r="BC1259" s="21"/>
      <c r="BD1259" s="21"/>
      <c r="BE1259" s="21"/>
      <c r="BF1259" s="21"/>
      <c r="BG1259" s="21"/>
    </row>
    <row r="1260" spans="38:59">
      <c r="AL1260" s="21"/>
      <c r="AM1260" s="24"/>
      <c r="AN1260" s="21"/>
      <c r="AO1260" s="21"/>
      <c r="AP1260" s="64"/>
      <c r="AQ1260" s="64"/>
      <c r="AR1260" s="21"/>
      <c r="AS1260" s="21"/>
      <c r="AT1260" s="21"/>
      <c r="AU1260" s="22"/>
      <c r="AV1260" s="21"/>
      <c r="AW1260" s="21"/>
      <c r="AX1260" s="21"/>
      <c r="AY1260" s="21"/>
      <c r="AZ1260" s="21"/>
      <c r="BA1260" s="21"/>
      <c r="BB1260" s="21"/>
      <c r="BC1260" s="21"/>
      <c r="BD1260" s="21"/>
      <c r="BE1260" s="21"/>
      <c r="BF1260" s="21"/>
      <c r="BG1260" s="21"/>
    </row>
    <row r="1261" spans="38:59">
      <c r="AL1261" s="21"/>
      <c r="AM1261" s="24"/>
      <c r="AN1261" s="21"/>
      <c r="AO1261" s="21"/>
      <c r="AP1261" s="64"/>
      <c r="AQ1261" s="64"/>
      <c r="AR1261" s="21"/>
      <c r="AS1261" s="21"/>
      <c r="AT1261" s="21"/>
      <c r="AU1261" s="22"/>
      <c r="AV1261" s="21"/>
      <c r="AW1261" s="21"/>
      <c r="AX1261" s="21"/>
      <c r="AY1261" s="21"/>
      <c r="AZ1261" s="21"/>
      <c r="BA1261" s="21"/>
      <c r="BB1261" s="21"/>
      <c r="BC1261" s="21"/>
      <c r="BD1261" s="21"/>
      <c r="BE1261" s="21"/>
      <c r="BF1261" s="21"/>
      <c r="BG1261" s="21"/>
    </row>
    <row r="1262" spans="38:59">
      <c r="AL1262" s="21"/>
      <c r="AM1262" s="24"/>
      <c r="AN1262" s="21"/>
      <c r="AO1262" s="21"/>
      <c r="AP1262" s="64"/>
      <c r="AQ1262" s="64"/>
      <c r="AR1262" s="21"/>
      <c r="AS1262" s="21"/>
      <c r="AT1262" s="21"/>
      <c r="AU1262" s="22"/>
      <c r="AV1262" s="21"/>
      <c r="AW1262" s="21"/>
      <c r="AX1262" s="21"/>
      <c r="AY1262" s="21"/>
      <c r="AZ1262" s="21"/>
      <c r="BA1262" s="21"/>
      <c r="BB1262" s="21"/>
      <c r="BC1262" s="21"/>
      <c r="BD1262" s="21"/>
      <c r="BE1262" s="21"/>
      <c r="BF1262" s="21"/>
      <c r="BG1262" s="21"/>
    </row>
    <row r="1263" spans="38:59">
      <c r="AL1263" s="21"/>
      <c r="AM1263" s="24"/>
      <c r="AN1263" s="21"/>
      <c r="AO1263" s="21"/>
      <c r="AP1263" s="64"/>
      <c r="AQ1263" s="64"/>
      <c r="AR1263" s="21"/>
      <c r="AS1263" s="21"/>
      <c r="AT1263" s="21"/>
      <c r="AU1263" s="22"/>
      <c r="AV1263" s="21"/>
      <c r="AW1263" s="21"/>
      <c r="AX1263" s="21"/>
      <c r="AY1263" s="21"/>
      <c r="AZ1263" s="21"/>
      <c r="BA1263" s="21"/>
      <c r="BB1263" s="21"/>
      <c r="BC1263" s="21"/>
      <c r="BD1263" s="21"/>
      <c r="BE1263" s="21"/>
      <c r="BF1263" s="21"/>
      <c r="BG1263" s="21"/>
    </row>
    <row r="1264" spans="38:59">
      <c r="AL1264" s="21"/>
      <c r="AM1264" s="24"/>
      <c r="AN1264" s="21"/>
      <c r="AO1264" s="21"/>
      <c r="AP1264" s="64"/>
      <c r="AQ1264" s="64"/>
      <c r="AR1264" s="21"/>
      <c r="AS1264" s="21"/>
      <c r="AT1264" s="21"/>
      <c r="AU1264" s="22"/>
      <c r="AV1264" s="21"/>
      <c r="AW1264" s="21"/>
      <c r="AX1264" s="21"/>
      <c r="AY1264" s="21"/>
      <c r="AZ1264" s="21"/>
      <c r="BA1264" s="21"/>
      <c r="BB1264" s="21"/>
      <c r="BC1264" s="21"/>
      <c r="BD1264" s="21"/>
      <c r="BE1264" s="21"/>
      <c r="BF1264" s="21"/>
      <c r="BG1264" s="21"/>
    </row>
    <row r="1265" spans="38:59">
      <c r="AL1265" s="21"/>
      <c r="AM1265" s="24"/>
      <c r="AN1265" s="21"/>
      <c r="AO1265" s="21"/>
      <c r="AP1265" s="64"/>
      <c r="AQ1265" s="64"/>
      <c r="AR1265" s="21"/>
      <c r="AS1265" s="21"/>
      <c r="AT1265" s="21"/>
      <c r="AU1265" s="22"/>
      <c r="AV1265" s="21"/>
      <c r="AW1265" s="21"/>
      <c r="AX1265" s="21"/>
      <c r="AY1265" s="21"/>
      <c r="AZ1265" s="21"/>
      <c r="BA1265" s="21"/>
      <c r="BB1265" s="21"/>
      <c r="BC1265" s="21"/>
      <c r="BD1265" s="21"/>
      <c r="BE1265" s="21"/>
      <c r="BF1265" s="21"/>
      <c r="BG1265" s="21"/>
    </row>
    <row r="1266" spans="38:59">
      <c r="AL1266" s="21"/>
      <c r="AM1266" s="24"/>
      <c r="AN1266" s="21"/>
      <c r="AO1266" s="21"/>
      <c r="AP1266" s="64"/>
      <c r="AQ1266" s="64"/>
      <c r="AR1266" s="21"/>
      <c r="AS1266" s="21"/>
      <c r="AT1266" s="21"/>
      <c r="AU1266" s="22"/>
      <c r="AV1266" s="21"/>
      <c r="AW1266" s="21"/>
      <c r="AX1266" s="21"/>
      <c r="AY1266" s="21"/>
      <c r="AZ1266" s="21"/>
      <c r="BA1266" s="21"/>
      <c r="BB1266" s="21"/>
      <c r="BC1266" s="21"/>
      <c r="BD1266" s="21"/>
      <c r="BE1266" s="21"/>
      <c r="BF1266" s="21"/>
      <c r="BG1266" s="21"/>
    </row>
    <row r="1267" spans="38:59">
      <c r="AL1267" s="21"/>
      <c r="AM1267" s="24"/>
      <c r="AN1267" s="21"/>
      <c r="AO1267" s="21"/>
      <c r="AP1267" s="64"/>
      <c r="AQ1267" s="64"/>
      <c r="AR1267" s="21"/>
      <c r="AS1267" s="21"/>
      <c r="AT1267" s="21"/>
      <c r="AU1267" s="22"/>
      <c r="AV1267" s="21"/>
      <c r="AW1267" s="21"/>
      <c r="AX1267" s="21"/>
      <c r="AY1267" s="21"/>
      <c r="AZ1267" s="21"/>
      <c r="BA1267" s="21"/>
      <c r="BB1267" s="21"/>
      <c r="BC1267" s="21"/>
      <c r="BD1267" s="21"/>
      <c r="BE1267" s="21"/>
      <c r="BF1267" s="21"/>
      <c r="BG1267" s="21"/>
    </row>
    <row r="1268" spans="38:59">
      <c r="AL1268" s="21"/>
      <c r="AM1268" s="24"/>
      <c r="AN1268" s="21"/>
      <c r="AO1268" s="21"/>
      <c r="AP1268" s="64"/>
      <c r="AQ1268" s="64"/>
      <c r="AR1268" s="21"/>
      <c r="AS1268" s="21"/>
      <c r="AT1268" s="21"/>
      <c r="AU1268" s="22"/>
      <c r="AV1268" s="21"/>
      <c r="AW1268" s="21"/>
      <c r="AX1268" s="21"/>
      <c r="AY1268" s="21"/>
      <c r="AZ1268" s="21"/>
      <c r="BA1268" s="21"/>
      <c r="BB1268" s="21"/>
      <c r="BC1268" s="21"/>
      <c r="BD1268" s="21"/>
      <c r="BE1268" s="21"/>
      <c r="BF1268" s="21"/>
      <c r="BG1268" s="21"/>
    </row>
    <row r="1269" spans="38:59">
      <c r="AL1269" s="21"/>
      <c r="AM1269" s="24"/>
      <c r="AN1269" s="21"/>
      <c r="AO1269" s="21"/>
      <c r="AP1269" s="64"/>
      <c r="AQ1269" s="64"/>
      <c r="AR1269" s="21"/>
      <c r="AS1269" s="21"/>
      <c r="AT1269" s="21"/>
      <c r="AU1269" s="22"/>
      <c r="AV1269" s="21"/>
      <c r="AW1269" s="21"/>
      <c r="AX1269" s="21"/>
      <c r="AY1269" s="21"/>
      <c r="AZ1269" s="21"/>
      <c r="BA1269" s="21"/>
      <c r="BB1269" s="21"/>
      <c r="BC1269" s="21"/>
      <c r="BD1269" s="21"/>
      <c r="BE1269" s="21"/>
      <c r="BF1269" s="21"/>
      <c r="BG1269" s="21"/>
    </row>
    <row r="1270" spans="38:59">
      <c r="AL1270" s="21"/>
      <c r="AM1270" s="24"/>
      <c r="AN1270" s="21"/>
      <c r="AO1270" s="21"/>
      <c r="AP1270" s="64"/>
      <c r="AQ1270" s="64"/>
      <c r="AR1270" s="21"/>
      <c r="AS1270" s="21"/>
      <c r="AT1270" s="21"/>
      <c r="AU1270" s="22"/>
      <c r="AV1270" s="21"/>
      <c r="AW1270" s="21"/>
      <c r="AX1270" s="21"/>
      <c r="AY1270" s="21"/>
      <c r="AZ1270" s="21"/>
      <c r="BA1270" s="21"/>
      <c r="BB1270" s="21"/>
      <c r="BC1270" s="21"/>
      <c r="BD1270" s="21"/>
      <c r="BE1270" s="21"/>
      <c r="BF1270" s="21"/>
      <c r="BG1270" s="21"/>
    </row>
    <row r="1271" spans="38:59">
      <c r="AL1271" s="21"/>
      <c r="AM1271" s="24"/>
      <c r="AN1271" s="21"/>
      <c r="AO1271" s="21"/>
      <c r="AP1271" s="64"/>
      <c r="AQ1271" s="64"/>
      <c r="AR1271" s="21"/>
      <c r="AS1271" s="21"/>
      <c r="AT1271" s="21"/>
      <c r="AU1271" s="22"/>
      <c r="AV1271" s="21"/>
      <c r="AW1271" s="21"/>
      <c r="AX1271" s="21"/>
      <c r="AY1271" s="21"/>
      <c r="AZ1271" s="21"/>
      <c r="BA1271" s="21"/>
      <c r="BB1271" s="21"/>
      <c r="BC1271" s="21"/>
      <c r="BD1271" s="21"/>
      <c r="BE1271" s="21"/>
      <c r="BF1271" s="21"/>
      <c r="BG1271" s="21"/>
    </row>
    <row r="1272" spans="38:59">
      <c r="AL1272" s="21"/>
      <c r="AM1272" s="24"/>
      <c r="AN1272" s="21"/>
      <c r="AO1272" s="21"/>
      <c r="AP1272" s="64"/>
      <c r="AQ1272" s="64"/>
      <c r="AR1272" s="21"/>
      <c r="AS1272" s="21"/>
      <c r="AT1272" s="21"/>
      <c r="AU1272" s="22"/>
      <c r="AV1272" s="21"/>
      <c r="AW1272" s="21"/>
      <c r="AX1272" s="21"/>
      <c r="AY1272" s="21"/>
      <c r="AZ1272" s="21"/>
      <c r="BA1272" s="21"/>
      <c r="BB1272" s="21"/>
      <c r="BC1272" s="21"/>
      <c r="BD1272" s="21"/>
      <c r="BE1272" s="21"/>
      <c r="BF1272" s="21"/>
      <c r="BG1272" s="21"/>
    </row>
    <row r="1273" spans="38:59">
      <c r="AL1273" s="21"/>
      <c r="AM1273" s="24"/>
      <c r="AN1273" s="21"/>
      <c r="AO1273" s="21"/>
      <c r="AP1273" s="64"/>
      <c r="AQ1273" s="64"/>
      <c r="AR1273" s="21"/>
      <c r="AS1273" s="21"/>
      <c r="AT1273" s="21"/>
      <c r="AU1273" s="22"/>
      <c r="AV1273" s="21"/>
      <c r="AW1273" s="21"/>
      <c r="AX1273" s="21"/>
      <c r="AY1273" s="21"/>
      <c r="AZ1273" s="21"/>
      <c r="BA1273" s="21"/>
      <c r="BB1273" s="21"/>
      <c r="BC1273" s="21"/>
      <c r="BD1273" s="21"/>
      <c r="BE1273" s="21"/>
      <c r="BF1273" s="21"/>
      <c r="BG1273" s="21"/>
    </row>
    <row r="1274" spans="38:59">
      <c r="AL1274" s="21"/>
      <c r="AM1274" s="24"/>
      <c r="AN1274" s="21"/>
      <c r="AO1274" s="21"/>
      <c r="AP1274" s="64"/>
      <c r="AQ1274" s="64"/>
      <c r="AR1274" s="21"/>
      <c r="AS1274" s="21"/>
      <c r="AT1274" s="21"/>
      <c r="AU1274" s="22"/>
      <c r="AV1274" s="21"/>
      <c r="AW1274" s="21"/>
      <c r="AX1274" s="21"/>
      <c r="AY1274" s="21"/>
      <c r="AZ1274" s="21"/>
      <c r="BA1274" s="21"/>
      <c r="BB1274" s="21"/>
      <c r="BC1274" s="21"/>
      <c r="BD1274" s="21"/>
      <c r="BE1274" s="21"/>
      <c r="BF1274" s="21"/>
      <c r="BG1274" s="21"/>
    </row>
    <row r="1275" spans="38:59">
      <c r="AL1275" s="21"/>
      <c r="AM1275" s="24"/>
      <c r="AN1275" s="21"/>
      <c r="AO1275" s="21"/>
      <c r="AP1275" s="64"/>
      <c r="AQ1275" s="64"/>
      <c r="AR1275" s="21"/>
      <c r="AS1275" s="21"/>
      <c r="AT1275" s="21"/>
      <c r="AU1275" s="22"/>
      <c r="AV1275" s="21"/>
      <c r="AW1275" s="21"/>
      <c r="AX1275" s="21"/>
      <c r="AY1275" s="21"/>
      <c r="AZ1275" s="21"/>
      <c r="BA1275" s="21"/>
      <c r="BB1275" s="21"/>
      <c r="BC1275" s="21"/>
      <c r="BD1275" s="21"/>
      <c r="BE1275" s="21"/>
      <c r="BF1275" s="21"/>
      <c r="BG1275" s="21"/>
    </row>
    <row r="1276" spans="38:59">
      <c r="AL1276" s="21"/>
      <c r="AM1276" s="24"/>
      <c r="AN1276" s="21"/>
      <c r="AO1276" s="21"/>
      <c r="AP1276" s="64"/>
      <c r="AQ1276" s="64"/>
      <c r="AR1276" s="21"/>
      <c r="AS1276" s="21"/>
      <c r="AT1276" s="21"/>
      <c r="AU1276" s="22"/>
      <c r="AV1276" s="21"/>
      <c r="AW1276" s="21"/>
      <c r="AX1276" s="21"/>
      <c r="AY1276" s="21"/>
      <c r="AZ1276" s="21"/>
      <c r="BA1276" s="21"/>
      <c r="BB1276" s="21"/>
      <c r="BC1276" s="21"/>
      <c r="BD1276" s="21"/>
      <c r="BE1276" s="21"/>
      <c r="BF1276" s="21"/>
      <c r="BG1276" s="21"/>
    </row>
    <row r="1277" spans="38:59">
      <c r="AL1277" s="21"/>
      <c r="AM1277" s="24"/>
      <c r="AN1277" s="21"/>
      <c r="AO1277" s="21"/>
      <c r="AP1277" s="64"/>
      <c r="AQ1277" s="64"/>
      <c r="AR1277" s="21"/>
      <c r="AS1277" s="21"/>
      <c r="AT1277" s="21"/>
      <c r="AU1277" s="22"/>
      <c r="AV1277" s="21"/>
      <c r="AW1277" s="21"/>
      <c r="AX1277" s="21"/>
      <c r="AY1277" s="21"/>
      <c r="AZ1277" s="21"/>
      <c r="BA1277" s="21"/>
      <c r="BB1277" s="21"/>
      <c r="BC1277" s="21"/>
      <c r="BD1277" s="21"/>
      <c r="BE1277" s="21"/>
      <c r="BF1277" s="21"/>
      <c r="BG1277" s="21"/>
    </row>
    <row r="1278" spans="38:59">
      <c r="AL1278" s="21"/>
      <c r="AM1278" s="24"/>
      <c r="AN1278" s="21"/>
      <c r="AO1278" s="21"/>
      <c r="AP1278" s="64"/>
      <c r="AQ1278" s="64"/>
      <c r="AR1278" s="21"/>
      <c r="AS1278" s="21"/>
      <c r="AT1278" s="21"/>
      <c r="AU1278" s="22"/>
      <c r="AV1278" s="21"/>
      <c r="AW1278" s="21"/>
      <c r="AX1278" s="21"/>
      <c r="AY1278" s="21"/>
      <c r="AZ1278" s="21"/>
      <c r="BA1278" s="21"/>
      <c r="BB1278" s="21"/>
      <c r="BC1278" s="21"/>
      <c r="BD1278" s="21"/>
      <c r="BE1278" s="21"/>
      <c r="BF1278" s="21"/>
      <c r="BG1278" s="21"/>
    </row>
    <row r="1279" spans="38:59">
      <c r="AL1279" s="21"/>
      <c r="AM1279" s="24"/>
      <c r="AN1279" s="21"/>
      <c r="AO1279" s="21"/>
      <c r="AP1279" s="64"/>
      <c r="AQ1279" s="64"/>
      <c r="AR1279" s="21"/>
      <c r="AS1279" s="21"/>
      <c r="AT1279" s="21"/>
      <c r="AU1279" s="22"/>
      <c r="AV1279" s="21"/>
      <c r="AW1279" s="21"/>
      <c r="AX1279" s="21"/>
      <c r="AY1279" s="21"/>
      <c r="AZ1279" s="21"/>
      <c r="BA1279" s="21"/>
      <c r="BB1279" s="21"/>
      <c r="BC1279" s="21"/>
      <c r="BD1279" s="21"/>
      <c r="BE1279" s="21"/>
      <c r="BF1279" s="21"/>
      <c r="BG1279" s="21"/>
    </row>
    <row r="1280" spans="38:59">
      <c r="AL1280" s="21"/>
      <c r="AM1280" s="24"/>
      <c r="AN1280" s="21"/>
      <c r="AO1280" s="21"/>
      <c r="AP1280" s="64"/>
      <c r="AQ1280" s="64"/>
      <c r="AR1280" s="21"/>
      <c r="AS1280" s="21"/>
      <c r="AT1280" s="21"/>
      <c r="AU1280" s="22"/>
      <c r="AV1280" s="21"/>
      <c r="AW1280" s="21"/>
      <c r="AX1280" s="21"/>
      <c r="AY1280" s="21"/>
      <c r="AZ1280" s="21"/>
      <c r="BA1280" s="21"/>
      <c r="BB1280" s="21"/>
      <c r="BC1280" s="21"/>
      <c r="BD1280" s="21"/>
      <c r="BE1280" s="21"/>
      <c r="BF1280" s="21"/>
      <c r="BG1280" s="21"/>
    </row>
    <row r="1281" spans="38:59">
      <c r="AL1281" s="21"/>
      <c r="AM1281" s="24"/>
      <c r="AN1281" s="21"/>
      <c r="AO1281" s="21"/>
      <c r="AP1281" s="64"/>
      <c r="AQ1281" s="64"/>
      <c r="AR1281" s="21"/>
      <c r="AS1281" s="21"/>
      <c r="AT1281" s="21"/>
      <c r="AU1281" s="22"/>
      <c r="AV1281" s="21"/>
      <c r="AW1281" s="21"/>
      <c r="AX1281" s="21"/>
      <c r="AY1281" s="21"/>
      <c r="AZ1281" s="21"/>
      <c r="BA1281" s="21"/>
      <c r="BB1281" s="21"/>
      <c r="BC1281" s="21"/>
      <c r="BD1281" s="21"/>
      <c r="BE1281" s="21"/>
      <c r="BF1281" s="21"/>
      <c r="BG1281" s="21"/>
    </row>
    <row r="1282" spans="38:59">
      <c r="AL1282" s="21"/>
      <c r="AM1282" s="24"/>
      <c r="AN1282" s="21"/>
      <c r="AO1282" s="21"/>
      <c r="AP1282" s="64"/>
      <c r="AQ1282" s="64"/>
      <c r="AR1282" s="21"/>
      <c r="AS1282" s="21"/>
      <c r="AT1282" s="21"/>
      <c r="AU1282" s="22"/>
      <c r="AV1282" s="21"/>
      <c r="AW1282" s="21"/>
      <c r="AX1282" s="21"/>
      <c r="AY1282" s="21"/>
      <c r="AZ1282" s="21"/>
      <c r="BA1282" s="21"/>
      <c r="BB1282" s="21"/>
      <c r="BC1282" s="21"/>
      <c r="BD1282" s="21"/>
      <c r="BE1282" s="21"/>
      <c r="BF1282" s="21"/>
      <c r="BG1282" s="21"/>
    </row>
    <row r="1283" spans="38:59">
      <c r="AL1283" s="21"/>
      <c r="AM1283" s="24"/>
      <c r="AN1283" s="21"/>
      <c r="AO1283" s="21"/>
      <c r="AP1283" s="64"/>
      <c r="AQ1283" s="64"/>
      <c r="AR1283" s="21"/>
      <c r="AS1283" s="21"/>
      <c r="AT1283" s="21"/>
      <c r="AU1283" s="22"/>
      <c r="AV1283" s="21"/>
      <c r="AW1283" s="21"/>
      <c r="AX1283" s="21"/>
      <c r="AY1283" s="21"/>
      <c r="AZ1283" s="21"/>
      <c r="BA1283" s="21"/>
      <c r="BB1283" s="21"/>
      <c r="BC1283" s="21"/>
      <c r="BD1283" s="21"/>
      <c r="BE1283" s="21"/>
      <c r="BF1283" s="21"/>
      <c r="BG1283" s="21"/>
    </row>
    <row r="1284" spans="38:59">
      <c r="AL1284" s="21"/>
      <c r="AM1284" s="24"/>
      <c r="AN1284" s="21"/>
      <c r="AO1284" s="21"/>
      <c r="AP1284" s="64"/>
      <c r="AQ1284" s="64"/>
      <c r="AR1284" s="21"/>
      <c r="AS1284" s="21"/>
      <c r="AT1284" s="21"/>
      <c r="AU1284" s="22"/>
      <c r="AV1284" s="21"/>
      <c r="AW1284" s="21"/>
      <c r="AX1284" s="21"/>
      <c r="AY1284" s="21"/>
      <c r="AZ1284" s="21"/>
      <c r="BA1284" s="21"/>
      <c r="BB1284" s="21"/>
      <c r="BC1284" s="21"/>
      <c r="BD1284" s="21"/>
      <c r="BE1284" s="21"/>
      <c r="BF1284" s="21"/>
      <c r="BG1284" s="21"/>
    </row>
    <row r="1285" spans="38:59">
      <c r="AL1285" s="21"/>
      <c r="AM1285" s="24"/>
      <c r="AN1285" s="21"/>
      <c r="AO1285" s="21"/>
      <c r="AP1285" s="64"/>
      <c r="AQ1285" s="64"/>
      <c r="AR1285" s="21"/>
      <c r="AS1285" s="21"/>
      <c r="AT1285" s="21"/>
      <c r="AU1285" s="22"/>
      <c r="AV1285" s="21"/>
      <c r="AW1285" s="21"/>
      <c r="AX1285" s="21"/>
      <c r="AY1285" s="21"/>
      <c r="AZ1285" s="21"/>
      <c r="BA1285" s="21"/>
      <c r="BB1285" s="21"/>
      <c r="BC1285" s="21"/>
      <c r="BD1285" s="21"/>
      <c r="BE1285" s="21"/>
      <c r="BF1285" s="21"/>
      <c r="BG1285" s="21"/>
    </row>
    <row r="1286" spans="38:59">
      <c r="AL1286" s="21"/>
      <c r="AM1286" s="24"/>
      <c r="AN1286" s="21"/>
      <c r="AO1286" s="21"/>
      <c r="AP1286" s="64"/>
      <c r="AQ1286" s="64"/>
      <c r="AR1286" s="21"/>
      <c r="AS1286" s="21"/>
      <c r="AT1286" s="21"/>
      <c r="AU1286" s="22"/>
      <c r="AV1286" s="21"/>
      <c r="AW1286" s="21"/>
      <c r="AX1286" s="21"/>
      <c r="AY1286" s="21"/>
      <c r="AZ1286" s="21"/>
      <c r="BA1286" s="21"/>
      <c r="BB1286" s="21"/>
      <c r="BC1286" s="21"/>
      <c r="BD1286" s="21"/>
      <c r="BE1286" s="21"/>
      <c r="BF1286" s="21"/>
      <c r="BG1286" s="21"/>
    </row>
    <row r="1287" spans="38:59">
      <c r="AL1287" s="21"/>
      <c r="AM1287" s="24"/>
      <c r="AN1287" s="21"/>
      <c r="AO1287" s="21"/>
      <c r="AP1287" s="64"/>
      <c r="AQ1287" s="64"/>
      <c r="AR1287" s="21"/>
      <c r="AS1287" s="21"/>
      <c r="AT1287" s="21"/>
      <c r="AU1287" s="22"/>
      <c r="AV1287" s="21"/>
      <c r="AW1287" s="21"/>
      <c r="AX1287" s="21"/>
      <c r="AY1287" s="21"/>
      <c r="AZ1287" s="21"/>
      <c r="BA1287" s="21"/>
      <c r="BB1287" s="21"/>
      <c r="BC1287" s="21"/>
      <c r="BD1287" s="21"/>
      <c r="BE1287" s="21"/>
      <c r="BF1287" s="21"/>
      <c r="BG1287" s="21"/>
    </row>
    <row r="1288" spans="38:59">
      <c r="AL1288" s="21"/>
      <c r="AM1288" s="24"/>
      <c r="AN1288" s="21"/>
      <c r="AO1288" s="21"/>
      <c r="AP1288" s="64"/>
      <c r="AQ1288" s="64"/>
      <c r="AR1288" s="21"/>
      <c r="AS1288" s="21"/>
      <c r="AT1288" s="21"/>
      <c r="AU1288" s="22"/>
      <c r="AV1288" s="21"/>
      <c r="AW1288" s="21"/>
      <c r="AX1288" s="21"/>
      <c r="AY1288" s="21"/>
      <c r="AZ1288" s="21"/>
      <c r="BA1288" s="21"/>
      <c r="BB1288" s="21"/>
      <c r="BC1288" s="21"/>
      <c r="BD1288" s="21"/>
      <c r="BE1288" s="21"/>
      <c r="BF1288" s="21"/>
      <c r="BG1288" s="21"/>
    </row>
    <row r="1289" spans="38:59">
      <c r="AL1289" s="21"/>
      <c r="AM1289" s="24"/>
      <c r="AN1289" s="21"/>
      <c r="AO1289" s="21"/>
      <c r="AP1289" s="64"/>
      <c r="AQ1289" s="64"/>
      <c r="AR1289" s="21"/>
      <c r="AS1289" s="21"/>
      <c r="AT1289" s="21"/>
      <c r="AU1289" s="22"/>
      <c r="AV1289" s="21"/>
      <c r="AW1289" s="21"/>
      <c r="AX1289" s="21"/>
      <c r="AY1289" s="21"/>
      <c r="AZ1289" s="21"/>
      <c r="BA1289" s="21"/>
      <c r="BB1289" s="21"/>
      <c r="BC1289" s="21"/>
      <c r="BD1289" s="21"/>
      <c r="BE1289" s="21"/>
      <c r="BF1289" s="21"/>
      <c r="BG1289" s="21"/>
    </row>
    <row r="1290" spans="38:59">
      <c r="AL1290" s="21"/>
      <c r="AM1290" s="24"/>
      <c r="AN1290" s="21"/>
      <c r="AO1290" s="21"/>
      <c r="AP1290" s="64"/>
      <c r="AQ1290" s="64"/>
      <c r="AR1290" s="21"/>
      <c r="AS1290" s="21"/>
      <c r="AT1290" s="21"/>
      <c r="AU1290" s="22"/>
      <c r="AV1290" s="21"/>
      <c r="AW1290" s="21"/>
      <c r="AX1290" s="21"/>
      <c r="AY1290" s="21"/>
      <c r="AZ1290" s="21"/>
      <c r="BA1290" s="21"/>
      <c r="BB1290" s="21"/>
      <c r="BC1290" s="21"/>
      <c r="BD1290" s="21"/>
      <c r="BE1290" s="21"/>
      <c r="BF1290" s="21"/>
      <c r="BG1290" s="21"/>
    </row>
    <row r="1291" spans="38:59">
      <c r="AL1291" s="21"/>
      <c r="AM1291" s="24"/>
      <c r="AN1291" s="21"/>
      <c r="AO1291" s="21"/>
      <c r="AP1291" s="64"/>
      <c r="AQ1291" s="64"/>
      <c r="AR1291" s="21"/>
      <c r="AS1291" s="21"/>
      <c r="AT1291" s="21"/>
      <c r="AU1291" s="22"/>
      <c r="AV1291" s="21"/>
      <c r="AW1291" s="21"/>
      <c r="AX1291" s="21"/>
      <c r="AY1291" s="21"/>
      <c r="AZ1291" s="21"/>
      <c r="BA1291" s="21"/>
      <c r="BB1291" s="21"/>
      <c r="BC1291" s="21"/>
      <c r="BD1291" s="21"/>
      <c r="BE1291" s="21"/>
      <c r="BF1291" s="21"/>
      <c r="BG1291" s="21"/>
    </row>
    <row r="1292" spans="38:59">
      <c r="AL1292" s="21"/>
      <c r="AM1292" s="24"/>
      <c r="AN1292" s="21"/>
      <c r="AO1292" s="21"/>
      <c r="AP1292" s="64"/>
      <c r="AQ1292" s="64"/>
      <c r="AR1292" s="21"/>
      <c r="AS1292" s="21"/>
      <c r="AT1292" s="21"/>
      <c r="AU1292" s="22"/>
      <c r="AV1292" s="21"/>
      <c r="AW1292" s="21"/>
      <c r="AX1292" s="21"/>
      <c r="AY1292" s="21"/>
      <c r="AZ1292" s="21"/>
      <c r="BA1292" s="21"/>
      <c r="BB1292" s="21"/>
      <c r="BC1292" s="21"/>
      <c r="BD1292" s="21"/>
      <c r="BE1292" s="21"/>
      <c r="BF1292" s="21"/>
      <c r="BG1292" s="21"/>
    </row>
    <row r="1293" spans="38:59">
      <c r="AL1293" s="21"/>
      <c r="AM1293" s="24"/>
      <c r="AN1293" s="21"/>
      <c r="AO1293" s="21"/>
      <c r="AP1293" s="64"/>
      <c r="AQ1293" s="64"/>
      <c r="AR1293" s="21"/>
      <c r="AS1293" s="21"/>
      <c r="AT1293" s="21"/>
      <c r="AU1293" s="22"/>
      <c r="AV1293" s="21"/>
      <c r="AW1293" s="21"/>
      <c r="AX1293" s="21"/>
      <c r="AY1293" s="21"/>
      <c r="AZ1293" s="21"/>
      <c r="BA1293" s="21"/>
      <c r="BB1293" s="21"/>
      <c r="BC1293" s="21"/>
      <c r="BD1293" s="21"/>
      <c r="BE1293" s="21"/>
      <c r="BF1293" s="21"/>
      <c r="BG1293" s="21"/>
    </row>
    <row r="1294" spans="38:59">
      <c r="AL1294" s="21"/>
      <c r="AM1294" s="24"/>
      <c r="AN1294" s="21"/>
      <c r="AO1294" s="21"/>
      <c r="AP1294" s="64"/>
      <c r="AQ1294" s="64"/>
      <c r="AR1294" s="21"/>
      <c r="AS1294" s="21"/>
      <c r="AT1294" s="21"/>
      <c r="AU1294" s="22"/>
      <c r="AV1294" s="21"/>
      <c r="AW1294" s="21"/>
      <c r="AX1294" s="21"/>
      <c r="AY1294" s="21"/>
      <c r="AZ1294" s="21"/>
      <c r="BA1294" s="21"/>
      <c r="BB1294" s="21"/>
      <c r="BC1294" s="21"/>
      <c r="BD1294" s="21"/>
      <c r="BE1294" s="21"/>
      <c r="BF1294" s="21"/>
      <c r="BG1294" s="21"/>
    </row>
    <row r="1295" spans="38:59">
      <c r="AL1295" s="21"/>
      <c r="AM1295" s="24"/>
      <c r="AN1295" s="21"/>
      <c r="AO1295" s="21"/>
      <c r="AP1295" s="64"/>
      <c r="AQ1295" s="64"/>
      <c r="AR1295" s="21"/>
      <c r="AS1295" s="21"/>
      <c r="AT1295" s="21"/>
      <c r="AU1295" s="22"/>
      <c r="AV1295" s="21"/>
      <c r="AW1295" s="21"/>
      <c r="AX1295" s="21"/>
      <c r="AY1295" s="21"/>
      <c r="AZ1295" s="21"/>
      <c r="BA1295" s="21"/>
      <c r="BB1295" s="21"/>
      <c r="BC1295" s="21"/>
      <c r="BD1295" s="21"/>
      <c r="BE1295" s="21"/>
      <c r="BF1295" s="21"/>
      <c r="BG1295" s="21"/>
    </row>
    <row r="1296" spans="38:59">
      <c r="AL1296" s="21"/>
      <c r="AM1296" s="24"/>
      <c r="AN1296" s="21"/>
      <c r="AO1296" s="21"/>
      <c r="AP1296" s="64"/>
      <c r="AQ1296" s="64"/>
      <c r="AR1296" s="21"/>
      <c r="AS1296" s="21"/>
      <c r="AT1296" s="21"/>
      <c r="AU1296" s="22"/>
      <c r="AV1296" s="21"/>
      <c r="AW1296" s="21"/>
      <c r="AX1296" s="21"/>
      <c r="AY1296" s="21"/>
      <c r="AZ1296" s="21"/>
      <c r="BA1296" s="21"/>
      <c r="BB1296" s="21"/>
      <c r="BC1296" s="21"/>
      <c r="BD1296" s="21"/>
      <c r="BE1296" s="21"/>
      <c r="BF1296" s="21"/>
      <c r="BG1296" s="21"/>
    </row>
    <row r="1297" spans="38:59">
      <c r="AL1297" s="21"/>
      <c r="AM1297" s="24"/>
      <c r="AN1297" s="21"/>
      <c r="AO1297" s="21"/>
      <c r="AP1297" s="64"/>
      <c r="AQ1297" s="64"/>
      <c r="AR1297" s="21"/>
      <c r="AS1297" s="21"/>
      <c r="AT1297" s="21"/>
      <c r="AU1297" s="22"/>
      <c r="AV1297" s="21"/>
      <c r="AW1297" s="21"/>
      <c r="AX1297" s="21"/>
      <c r="AY1297" s="21"/>
      <c r="AZ1297" s="21"/>
      <c r="BA1297" s="21"/>
      <c r="BB1297" s="21"/>
      <c r="BC1297" s="21"/>
      <c r="BD1297" s="21"/>
      <c r="BE1297" s="21"/>
      <c r="BF1297" s="21"/>
      <c r="BG1297" s="21"/>
    </row>
    <row r="1298" spans="38:59">
      <c r="AL1298" s="21"/>
      <c r="AM1298" s="24"/>
      <c r="AN1298" s="21"/>
      <c r="AO1298" s="21"/>
      <c r="AP1298" s="64"/>
      <c r="AQ1298" s="64"/>
      <c r="AR1298" s="21"/>
      <c r="AS1298" s="21"/>
      <c r="AT1298" s="21"/>
      <c r="AU1298" s="22"/>
      <c r="AV1298" s="21"/>
      <c r="AW1298" s="21"/>
      <c r="AX1298" s="21"/>
      <c r="AY1298" s="21"/>
      <c r="AZ1298" s="21"/>
      <c r="BA1298" s="21"/>
      <c r="BB1298" s="21"/>
      <c r="BC1298" s="21"/>
      <c r="BD1298" s="21"/>
      <c r="BE1298" s="21"/>
      <c r="BF1298" s="21"/>
      <c r="BG1298" s="21"/>
    </row>
    <row r="1299" spans="38:59">
      <c r="AL1299" s="21"/>
      <c r="AM1299" s="24"/>
      <c r="AN1299" s="21"/>
      <c r="AO1299" s="21"/>
      <c r="AP1299" s="64"/>
      <c r="AQ1299" s="64"/>
      <c r="AR1299" s="21"/>
      <c r="AS1299" s="21"/>
      <c r="AT1299" s="21"/>
      <c r="AU1299" s="22"/>
      <c r="AV1299" s="21"/>
      <c r="AW1299" s="21"/>
      <c r="AX1299" s="21"/>
      <c r="AY1299" s="21"/>
      <c r="AZ1299" s="21"/>
      <c r="BA1299" s="21"/>
      <c r="BB1299" s="21"/>
      <c r="BC1299" s="21"/>
      <c r="BD1299" s="21"/>
      <c r="BE1299" s="21"/>
      <c r="BF1299" s="21"/>
      <c r="BG1299" s="21"/>
    </row>
    <row r="1300" spans="38:59">
      <c r="AL1300" s="21"/>
      <c r="AM1300" s="24"/>
      <c r="AN1300" s="21"/>
      <c r="AO1300" s="21"/>
      <c r="AP1300" s="64"/>
      <c r="AQ1300" s="64"/>
      <c r="AR1300" s="21"/>
      <c r="AS1300" s="21"/>
      <c r="AT1300" s="21"/>
      <c r="AU1300" s="22"/>
      <c r="AV1300" s="21"/>
      <c r="AW1300" s="21"/>
      <c r="AX1300" s="21"/>
      <c r="AY1300" s="21"/>
      <c r="AZ1300" s="21"/>
      <c r="BA1300" s="21"/>
      <c r="BB1300" s="21"/>
      <c r="BC1300" s="21"/>
      <c r="BD1300" s="21"/>
      <c r="BE1300" s="21"/>
      <c r="BF1300" s="21"/>
      <c r="BG1300" s="21"/>
    </row>
    <row r="1301" spans="38:59">
      <c r="AL1301" s="21"/>
      <c r="AM1301" s="24"/>
      <c r="AN1301" s="21"/>
      <c r="AO1301" s="21"/>
      <c r="AP1301" s="64"/>
      <c r="AQ1301" s="64"/>
      <c r="AR1301" s="21"/>
      <c r="AS1301" s="21"/>
      <c r="AT1301" s="21"/>
      <c r="AU1301" s="22"/>
      <c r="AV1301" s="21"/>
      <c r="AW1301" s="21"/>
      <c r="AX1301" s="21"/>
      <c r="AY1301" s="21"/>
      <c r="AZ1301" s="21"/>
      <c r="BA1301" s="21"/>
      <c r="BB1301" s="21"/>
      <c r="BC1301" s="21"/>
      <c r="BD1301" s="21"/>
      <c r="BE1301" s="21"/>
      <c r="BF1301" s="21"/>
      <c r="BG1301" s="21"/>
    </row>
    <row r="1302" spans="38:59">
      <c r="AL1302" s="21"/>
      <c r="AM1302" s="24"/>
      <c r="AN1302" s="21"/>
      <c r="AO1302" s="21"/>
      <c r="AP1302" s="64"/>
      <c r="AQ1302" s="64"/>
      <c r="AR1302" s="21"/>
      <c r="AS1302" s="21"/>
      <c r="AT1302" s="21"/>
      <c r="AU1302" s="22"/>
      <c r="AV1302" s="21"/>
      <c r="AW1302" s="21"/>
      <c r="AX1302" s="21"/>
      <c r="AY1302" s="21"/>
      <c r="AZ1302" s="21"/>
      <c r="BA1302" s="21"/>
      <c r="BB1302" s="21"/>
      <c r="BC1302" s="21"/>
      <c r="BD1302" s="21"/>
      <c r="BE1302" s="21"/>
      <c r="BF1302" s="21"/>
      <c r="BG1302" s="21"/>
    </row>
    <row r="1303" spans="38:59">
      <c r="AL1303" s="21"/>
      <c r="AM1303" s="24"/>
      <c r="AN1303" s="21"/>
      <c r="AO1303" s="21"/>
      <c r="AP1303" s="64"/>
      <c r="AQ1303" s="64"/>
      <c r="AR1303" s="21"/>
      <c r="AS1303" s="21"/>
      <c r="AT1303" s="21"/>
      <c r="AU1303" s="22"/>
      <c r="AV1303" s="21"/>
      <c r="AW1303" s="21"/>
      <c r="AX1303" s="21"/>
      <c r="AY1303" s="21"/>
      <c r="AZ1303" s="21"/>
      <c r="BA1303" s="21"/>
      <c r="BB1303" s="21"/>
      <c r="BC1303" s="21"/>
      <c r="BD1303" s="21"/>
      <c r="BE1303" s="21"/>
      <c r="BF1303" s="21"/>
      <c r="BG1303" s="21"/>
    </row>
    <row r="1304" spans="38:59">
      <c r="AL1304" s="21"/>
      <c r="AM1304" s="24"/>
      <c r="AN1304" s="21"/>
      <c r="AO1304" s="21"/>
      <c r="AP1304" s="64"/>
      <c r="AQ1304" s="64"/>
      <c r="AR1304" s="21"/>
      <c r="AS1304" s="21"/>
      <c r="AT1304" s="21"/>
      <c r="AU1304" s="22"/>
      <c r="AV1304" s="21"/>
      <c r="AW1304" s="21"/>
      <c r="AX1304" s="21"/>
      <c r="AY1304" s="21"/>
      <c r="AZ1304" s="21"/>
      <c r="BA1304" s="21"/>
      <c r="BB1304" s="21"/>
      <c r="BC1304" s="21"/>
      <c r="BD1304" s="21"/>
      <c r="BE1304" s="21"/>
      <c r="BF1304" s="21"/>
      <c r="BG1304" s="21"/>
    </row>
    <row r="1305" spans="38:59">
      <c r="AL1305" s="21"/>
      <c r="AM1305" s="24"/>
      <c r="AN1305" s="21"/>
      <c r="AO1305" s="21"/>
      <c r="AP1305" s="64"/>
      <c r="AQ1305" s="64"/>
      <c r="AR1305" s="21"/>
      <c r="AS1305" s="21"/>
      <c r="AT1305" s="21"/>
      <c r="AU1305" s="22"/>
      <c r="AV1305" s="21"/>
      <c r="AW1305" s="21"/>
      <c r="AX1305" s="21"/>
      <c r="AY1305" s="21"/>
      <c r="AZ1305" s="21"/>
      <c r="BA1305" s="21"/>
      <c r="BB1305" s="21"/>
      <c r="BC1305" s="21"/>
      <c r="BD1305" s="21"/>
      <c r="BE1305" s="21"/>
      <c r="BF1305" s="21"/>
      <c r="BG1305" s="21"/>
    </row>
    <row r="1306" spans="38:59">
      <c r="AL1306" s="21"/>
      <c r="AM1306" s="24"/>
      <c r="AN1306" s="21"/>
      <c r="AO1306" s="21"/>
      <c r="AP1306" s="64"/>
      <c r="AQ1306" s="64"/>
      <c r="AR1306" s="21"/>
      <c r="AS1306" s="21"/>
      <c r="AT1306" s="21"/>
      <c r="AU1306" s="22"/>
      <c r="AV1306" s="21"/>
      <c r="AW1306" s="21"/>
      <c r="AX1306" s="21"/>
      <c r="AY1306" s="21"/>
      <c r="AZ1306" s="21"/>
      <c r="BA1306" s="21"/>
      <c r="BB1306" s="21"/>
      <c r="BC1306" s="21"/>
      <c r="BD1306" s="21"/>
      <c r="BE1306" s="21"/>
      <c r="BF1306" s="21"/>
      <c r="BG1306" s="21"/>
    </row>
    <row r="1307" spans="38:59">
      <c r="AL1307" s="21"/>
      <c r="AM1307" s="24"/>
      <c r="AN1307" s="21"/>
      <c r="AO1307" s="21"/>
      <c r="AP1307" s="64"/>
      <c r="AQ1307" s="64"/>
      <c r="AR1307" s="21"/>
      <c r="AS1307" s="21"/>
      <c r="AT1307" s="21"/>
      <c r="AU1307" s="22"/>
      <c r="AV1307" s="21"/>
      <c r="AW1307" s="21"/>
      <c r="AX1307" s="21"/>
      <c r="AY1307" s="21"/>
      <c r="AZ1307" s="21"/>
      <c r="BA1307" s="21"/>
      <c r="BB1307" s="21"/>
      <c r="BC1307" s="21"/>
      <c r="BD1307" s="21"/>
      <c r="BE1307" s="21"/>
      <c r="BF1307" s="21"/>
      <c r="BG1307" s="21"/>
    </row>
    <row r="1308" spans="38:59">
      <c r="AL1308" s="21"/>
      <c r="AM1308" s="24"/>
      <c r="AN1308" s="21"/>
      <c r="AO1308" s="21"/>
      <c r="AP1308" s="64"/>
      <c r="AQ1308" s="64"/>
      <c r="AR1308" s="21"/>
      <c r="AS1308" s="21"/>
      <c r="AT1308" s="21"/>
      <c r="AU1308" s="22"/>
      <c r="AV1308" s="21"/>
      <c r="AW1308" s="21"/>
      <c r="AX1308" s="21"/>
      <c r="AY1308" s="21"/>
      <c r="AZ1308" s="21"/>
      <c r="BA1308" s="21"/>
      <c r="BB1308" s="21"/>
      <c r="BC1308" s="21"/>
      <c r="BD1308" s="21"/>
      <c r="BE1308" s="21"/>
      <c r="BF1308" s="21"/>
      <c r="BG1308" s="21"/>
    </row>
    <row r="1309" spans="38:59">
      <c r="AL1309" s="21"/>
      <c r="AM1309" s="24"/>
      <c r="AN1309" s="21"/>
      <c r="AO1309" s="21"/>
      <c r="AP1309" s="64"/>
      <c r="AQ1309" s="64"/>
      <c r="AR1309" s="21"/>
      <c r="AS1309" s="21"/>
      <c r="AT1309" s="21"/>
      <c r="AU1309" s="22"/>
      <c r="AV1309" s="21"/>
      <c r="AW1309" s="21"/>
      <c r="AX1309" s="21"/>
      <c r="AY1309" s="21"/>
      <c r="AZ1309" s="21"/>
      <c r="BA1309" s="21"/>
      <c r="BB1309" s="21"/>
      <c r="BC1309" s="21"/>
      <c r="BD1309" s="21"/>
      <c r="BE1309" s="21"/>
      <c r="BF1309" s="21"/>
      <c r="BG1309" s="21"/>
    </row>
    <row r="1310" spans="38:59">
      <c r="AL1310" s="21"/>
      <c r="AM1310" s="24"/>
      <c r="AN1310" s="21"/>
      <c r="AO1310" s="21"/>
      <c r="AP1310" s="64"/>
      <c r="AQ1310" s="64"/>
      <c r="AR1310" s="21"/>
      <c r="AS1310" s="21"/>
      <c r="AT1310" s="21"/>
      <c r="AU1310" s="22"/>
      <c r="AV1310" s="21"/>
      <c r="AW1310" s="21"/>
      <c r="AX1310" s="21"/>
      <c r="AY1310" s="21"/>
      <c r="AZ1310" s="21"/>
      <c r="BA1310" s="21"/>
      <c r="BB1310" s="21"/>
      <c r="BC1310" s="21"/>
      <c r="BD1310" s="21"/>
      <c r="BE1310" s="21"/>
      <c r="BF1310" s="21"/>
      <c r="BG1310" s="21"/>
    </row>
    <row r="1311" spans="38:59">
      <c r="AL1311" s="21"/>
      <c r="AM1311" s="24"/>
      <c r="AN1311" s="21"/>
      <c r="AO1311" s="21"/>
      <c r="AP1311" s="64"/>
      <c r="AQ1311" s="64"/>
      <c r="AR1311" s="21"/>
      <c r="AS1311" s="21"/>
      <c r="AT1311" s="21"/>
      <c r="AU1311" s="22"/>
      <c r="AV1311" s="21"/>
      <c r="AW1311" s="21"/>
      <c r="AX1311" s="21"/>
      <c r="AY1311" s="21"/>
      <c r="AZ1311" s="21"/>
      <c r="BA1311" s="21"/>
      <c r="BB1311" s="21"/>
      <c r="BC1311" s="21"/>
      <c r="BD1311" s="21"/>
      <c r="BE1311" s="21"/>
      <c r="BF1311" s="21"/>
      <c r="BG1311" s="21"/>
    </row>
    <row r="1312" spans="38:59">
      <c r="AL1312" s="21"/>
      <c r="AM1312" s="24"/>
      <c r="AN1312" s="21"/>
      <c r="AO1312" s="21"/>
      <c r="AP1312" s="64"/>
      <c r="AQ1312" s="64"/>
      <c r="AR1312" s="21"/>
      <c r="AS1312" s="21"/>
      <c r="AT1312" s="21"/>
      <c r="AU1312" s="22"/>
      <c r="AV1312" s="21"/>
      <c r="AW1312" s="21"/>
      <c r="AX1312" s="21"/>
      <c r="AY1312" s="21"/>
      <c r="AZ1312" s="21"/>
      <c r="BA1312" s="21"/>
      <c r="BB1312" s="21"/>
      <c r="BC1312" s="21"/>
      <c r="BD1312" s="21"/>
      <c r="BE1312" s="21"/>
      <c r="BF1312" s="21"/>
      <c r="BG1312" s="21"/>
    </row>
    <row r="1313" spans="38:59">
      <c r="AL1313" s="21"/>
      <c r="AM1313" s="24"/>
      <c r="AN1313" s="21"/>
      <c r="AO1313" s="21"/>
      <c r="AP1313" s="64"/>
      <c r="AQ1313" s="64"/>
      <c r="AR1313" s="21"/>
      <c r="AS1313" s="21"/>
      <c r="AT1313" s="21"/>
      <c r="AU1313" s="22"/>
      <c r="AV1313" s="21"/>
      <c r="AW1313" s="21"/>
      <c r="AX1313" s="21"/>
      <c r="AY1313" s="21"/>
      <c r="AZ1313" s="21"/>
      <c r="BA1313" s="21"/>
      <c r="BB1313" s="21"/>
      <c r="BC1313" s="21"/>
      <c r="BD1313" s="21"/>
      <c r="BE1313" s="21"/>
      <c r="BF1313" s="21"/>
      <c r="BG1313" s="21"/>
    </row>
    <row r="1314" spans="38:59">
      <c r="AL1314" s="21"/>
      <c r="AM1314" s="24"/>
      <c r="AN1314" s="21"/>
      <c r="AO1314" s="21"/>
      <c r="AP1314" s="64"/>
      <c r="AQ1314" s="64"/>
      <c r="AR1314" s="21"/>
      <c r="AS1314" s="21"/>
      <c r="AT1314" s="21"/>
      <c r="AU1314" s="22"/>
      <c r="AV1314" s="21"/>
      <c r="AW1314" s="21"/>
      <c r="AX1314" s="21"/>
      <c r="AY1314" s="21"/>
      <c r="AZ1314" s="21"/>
      <c r="BA1314" s="21"/>
      <c r="BB1314" s="21"/>
      <c r="BC1314" s="21"/>
      <c r="BD1314" s="21"/>
      <c r="BE1314" s="21"/>
      <c r="BF1314" s="21"/>
      <c r="BG1314" s="21"/>
    </row>
    <row r="1315" spans="38:59">
      <c r="AL1315" s="21"/>
      <c r="AM1315" s="24"/>
      <c r="AN1315" s="21"/>
      <c r="AO1315" s="21"/>
      <c r="AP1315" s="64"/>
      <c r="AQ1315" s="64"/>
      <c r="AR1315" s="21"/>
      <c r="AS1315" s="21"/>
      <c r="AT1315" s="21"/>
      <c r="AU1315" s="22"/>
      <c r="AV1315" s="21"/>
      <c r="AW1315" s="21"/>
      <c r="AX1315" s="21"/>
      <c r="AY1315" s="21"/>
      <c r="AZ1315" s="21"/>
      <c r="BA1315" s="21"/>
      <c r="BB1315" s="21"/>
      <c r="BC1315" s="21"/>
      <c r="BD1315" s="21"/>
      <c r="BE1315" s="21"/>
      <c r="BF1315" s="21"/>
      <c r="BG1315" s="21"/>
    </row>
    <row r="1316" spans="38:59">
      <c r="AL1316" s="21"/>
      <c r="AM1316" s="24"/>
      <c r="AN1316" s="21"/>
      <c r="AO1316" s="21"/>
      <c r="AP1316" s="64"/>
      <c r="AQ1316" s="64"/>
      <c r="AR1316" s="21"/>
      <c r="AS1316" s="21"/>
      <c r="AT1316" s="21"/>
      <c r="AU1316" s="22"/>
      <c r="AV1316" s="21"/>
      <c r="AW1316" s="21"/>
      <c r="AX1316" s="21"/>
      <c r="AY1316" s="21"/>
      <c r="AZ1316" s="21"/>
      <c r="BA1316" s="21"/>
      <c r="BB1316" s="21"/>
      <c r="BC1316" s="21"/>
      <c r="BD1316" s="21"/>
      <c r="BE1316" s="21"/>
      <c r="BF1316" s="21"/>
      <c r="BG1316" s="21"/>
    </row>
    <row r="1317" spans="38:59">
      <c r="AL1317" s="21"/>
      <c r="AM1317" s="24"/>
      <c r="AN1317" s="21"/>
      <c r="AO1317" s="21"/>
      <c r="AP1317" s="64"/>
      <c r="AQ1317" s="64"/>
      <c r="AR1317" s="21"/>
      <c r="AS1317" s="21"/>
      <c r="AT1317" s="21"/>
      <c r="AU1317" s="22"/>
      <c r="AV1317" s="21"/>
      <c r="AW1317" s="21"/>
      <c r="AX1317" s="21"/>
      <c r="AY1317" s="21"/>
      <c r="AZ1317" s="21"/>
      <c r="BA1317" s="21"/>
      <c r="BB1317" s="21"/>
      <c r="BC1317" s="21"/>
      <c r="BD1317" s="21"/>
      <c r="BE1317" s="21"/>
      <c r="BF1317" s="21"/>
      <c r="BG1317" s="21"/>
    </row>
    <row r="1318" spans="38:59">
      <c r="AL1318" s="21"/>
      <c r="AM1318" s="24"/>
      <c r="AN1318" s="21"/>
      <c r="AO1318" s="21"/>
      <c r="AP1318" s="64"/>
      <c r="AQ1318" s="64"/>
      <c r="AR1318" s="21"/>
      <c r="AS1318" s="21"/>
      <c r="AT1318" s="21"/>
      <c r="AU1318" s="22"/>
      <c r="AV1318" s="21"/>
      <c r="AW1318" s="21"/>
      <c r="AX1318" s="21"/>
      <c r="AY1318" s="21"/>
      <c r="AZ1318" s="21"/>
      <c r="BA1318" s="21"/>
      <c r="BB1318" s="21"/>
      <c r="BC1318" s="21"/>
      <c r="BD1318" s="21"/>
      <c r="BE1318" s="21"/>
      <c r="BF1318" s="21"/>
      <c r="BG1318" s="21"/>
    </row>
    <row r="1319" spans="38:59">
      <c r="AL1319" s="21"/>
      <c r="AM1319" s="24"/>
      <c r="AN1319" s="21"/>
      <c r="AO1319" s="21"/>
      <c r="AP1319" s="64"/>
      <c r="AQ1319" s="64"/>
      <c r="AR1319" s="21"/>
      <c r="AS1319" s="21"/>
      <c r="AT1319" s="21"/>
      <c r="AU1319" s="22"/>
      <c r="AV1319" s="21"/>
      <c r="AW1319" s="21"/>
      <c r="AX1319" s="21"/>
      <c r="AY1319" s="21"/>
      <c r="AZ1319" s="21"/>
      <c r="BA1319" s="21"/>
      <c r="BB1319" s="21"/>
      <c r="BC1319" s="21"/>
      <c r="BD1319" s="21"/>
      <c r="BE1319" s="21"/>
      <c r="BF1319" s="21"/>
      <c r="BG1319" s="21"/>
    </row>
    <row r="1320" spans="38:59">
      <c r="AL1320" s="21"/>
      <c r="AM1320" s="24"/>
      <c r="AN1320" s="21"/>
      <c r="AO1320" s="21"/>
      <c r="AP1320" s="64"/>
      <c r="AQ1320" s="64"/>
      <c r="AR1320" s="21"/>
      <c r="AS1320" s="21"/>
      <c r="AT1320" s="21"/>
      <c r="AU1320" s="22"/>
      <c r="AV1320" s="21"/>
      <c r="AW1320" s="21"/>
      <c r="AX1320" s="21"/>
      <c r="AY1320" s="21"/>
      <c r="AZ1320" s="21"/>
      <c r="BA1320" s="21"/>
      <c r="BB1320" s="21"/>
      <c r="BC1320" s="21"/>
      <c r="BD1320" s="21"/>
      <c r="BE1320" s="21"/>
      <c r="BF1320" s="21"/>
      <c r="BG1320" s="21"/>
    </row>
    <row r="1321" spans="38:59">
      <c r="AL1321" s="21"/>
      <c r="AM1321" s="24"/>
      <c r="AN1321" s="21"/>
      <c r="AO1321" s="21"/>
      <c r="AP1321" s="64"/>
      <c r="AQ1321" s="64"/>
      <c r="AR1321" s="21"/>
      <c r="AS1321" s="21"/>
      <c r="AT1321" s="21"/>
      <c r="AU1321" s="22"/>
      <c r="AV1321" s="21"/>
      <c r="AW1321" s="21"/>
      <c r="AX1321" s="21"/>
      <c r="AY1321" s="21"/>
      <c r="AZ1321" s="21"/>
      <c r="BA1321" s="21"/>
      <c r="BB1321" s="21"/>
      <c r="BC1321" s="21"/>
      <c r="BD1321" s="21"/>
      <c r="BE1321" s="21"/>
      <c r="BF1321" s="21"/>
      <c r="BG1321" s="21"/>
    </row>
    <row r="1322" spans="38:59">
      <c r="AL1322" s="21"/>
      <c r="AM1322" s="24"/>
      <c r="AN1322" s="21"/>
      <c r="AO1322" s="21"/>
      <c r="AP1322" s="64"/>
      <c r="AQ1322" s="64"/>
      <c r="AR1322" s="21"/>
      <c r="AS1322" s="21"/>
      <c r="AT1322" s="21"/>
      <c r="AU1322" s="22"/>
      <c r="AV1322" s="21"/>
      <c r="AW1322" s="21"/>
      <c r="AX1322" s="21"/>
      <c r="AY1322" s="21"/>
      <c r="AZ1322" s="21"/>
      <c r="BA1322" s="21"/>
      <c r="BB1322" s="21"/>
      <c r="BC1322" s="21"/>
      <c r="BD1322" s="21"/>
      <c r="BE1322" s="21"/>
      <c r="BF1322" s="21"/>
      <c r="BG1322" s="21"/>
    </row>
    <row r="1323" spans="38:59">
      <c r="AL1323" s="21"/>
      <c r="AM1323" s="24"/>
      <c r="AN1323" s="21"/>
      <c r="AO1323" s="21"/>
      <c r="AP1323" s="64"/>
      <c r="AQ1323" s="64"/>
      <c r="AR1323" s="21"/>
      <c r="AS1323" s="21"/>
      <c r="AT1323" s="21"/>
      <c r="AU1323" s="22"/>
      <c r="AV1323" s="21"/>
      <c r="AW1323" s="21"/>
      <c r="AX1323" s="21"/>
      <c r="AY1323" s="21"/>
      <c r="AZ1323" s="21"/>
      <c r="BA1323" s="21"/>
      <c r="BB1323" s="21"/>
      <c r="BC1323" s="21"/>
      <c r="BD1323" s="21"/>
      <c r="BE1323" s="21"/>
      <c r="BF1323" s="21"/>
      <c r="BG1323" s="21"/>
    </row>
    <row r="1324" spans="38:59">
      <c r="AL1324" s="21"/>
      <c r="AM1324" s="24"/>
      <c r="AN1324" s="21"/>
      <c r="AO1324" s="21"/>
      <c r="AP1324" s="64"/>
      <c r="AQ1324" s="64"/>
      <c r="AR1324" s="21"/>
      <c r="AS1324" s="21"/>
      <c r="AT1324" s="21"/>
      <c r="AU1324" s="22"/>
      <c r="AV1324" s="21"/>
      <c r="AW1324" s="21"/>
      <c r="AX1324" s="21"/>
      <c r="AY1324" s="21"/>
      <c r="AZ1324" s="21"/>
      <c r="BA1324" s="21"/>
      <c r="BB1324" s="21"/>
      <c r="BC1324" s="21"/>
      <c r="BD1324" s="21"/>
      <c r="BE1324" s="21"/>
      <c r="BF1324" s="21"/>
      <c r="BG1324" s="21"/>
    </row>
    <row r="1325" spans="38:59">
      <c r="AL1325" s="21"/>
      <c r="AM1325" s="24"/>
      <c r="AN1325" s="21"/>
      <c r="AO1325" s="21"/>
      <c r="AP1325" s="64"/>
      <c r="AQ1325" s="64"/>
      <c r="AR1325" s="21"/>
      <c r="AS1325" s="21"/>
      <c r="AT1325" s="21"/>
      <c r="AU1325" s="22"/>
      <c r="AV1325" s="21"/>
      <c r="AW1325" s="21"/>
      <c r="AX1325" s="21"/>
      <c r="AY1325" s="21"/>
      <c r="AZ1325" s="21"/>
      <c r="BA1325" s="21"/>
      <c r="BB1325" s="21"/>
      <c r="BC1325" s="21"/>
      <c r="BD1325" s="21"/>
      <c r="BE1325" s="21"/>
      <c r="BF1325" s="21"/>
      <c r="BG1325" s="21"/>
    </row>
    <row r="1326" spans="38:59">
      <c r="AL1326" s="21"/>
      <c r="AM1326" s="24"/>
      <c r="AN1326" s="21"/>
      <c r="AO1326" s="21"/>
      <c r="AP1326" s="64"/>
      <c r="AQ1326" s="64"/>
      <c r="AR1326" s="21"/>
      <c r="AS1326" s="21"/>
      <c r="AT1326" s="21"/>
      <c r="AU1326" s="22"/>
      <c r="AV1326" s="21"/>
      <c r="AW1326" s="21"/>
      <c r="AX1326" s="21"/>
      <c r="AY1326" s="21"/>
      <c r="AZ1326" s="21"/>
      <c r="BA1326" s="21"/>
      <c r="BB1326" s="21"/>
      <c r="BC1326" s="21"/>
      <c r="BD1326" s="21"/>
      <c r="BE1326" s="21"/>
      <c r="BF1326" s="21"/>
      <c r="BG1326" s="21"/>
    </row>
    <row r="1327" spans="38:59">
      <c r="AL1327" s="21"/>
      <c r="AM1327" s="24"/>
      <c r="AN1327" s="21"/>
      <c r="AO1327" s="21"/>
      <c r="AP1327" s="64"/>
      <c r="AQ1327" s="64"/>
      <c r="AR1327" s="21"/>
      <c r="AS1327" s="21"/>
      <c r="AT1327" s="21"/>
      <c r="AU1327" s="22"/>
      <c r="AV1327" s="21"/>
      <c r="AW1327" s="21"/>
      <c r="AX1327" s="21"/>
      <c r="AY1327" s="21"/>
      <c r="AZ1327" s="21"/>
      <c r="BA1327" s="21"/>
      <c r="BB1327" s="21"/>
      <c r="BC1327" s="21"/>
      <c r="BD1327" s="21"/>
      <c r="BE1327" s="21"/>
      <c r="BF1327" s="21"/>
      <c r="BG1327" s="21"/>
    </row>
    <row r="1328" spans="38:59">
      <c r="AL1328" s="21"/>
      <c r="AM1328" s="24"/>
      <c r="AN1328" s="21"/>
      <c r="AO1328" s="21"/>
      <c r="AP1328" s="64"/>
      <c r="AQ1328" s="64"/>
      <c r="AR1328" s="21"/>
      <c r="AS1328" s="21"/>
      <c r="AT1328" s="21"/>
      <c r="AU1328" s="22"/>
      <c r="AV1328" s="21"/>
      <c r="AW1328" s="21"/>
      <c r="AX1328" s="21"/>
      <c r="AY1328" s="21"/>
      <c r="AZ1328" s="21"/>
      <c r="BA1328" s="21"/>
      <c r="BB1328" s="21"/>
      <c r="BC1328" s="21"/>
      <c r="BD1328" s="21"/>
      <c r="BE1328" s="21"/>
      <c r="BF1328" s="21"/>
      <c r="BG1328" s="21"/>
    </row>
    <row r="1329" spans="38:59">
      <c r="AL1329" s="21"/>
      <c r="AM1329" s="24"/>
      <c r="AN1329" s="21"/>
      <c r="AO1329" s="21"/>
      <c r="AP1329" s="64"/>
      <c r="AQ1329" s="64"/>
      <c r="AR1329" s="21"/>
      <c r="AS1329" s="21"/>
      <c r="AT1329" s="21"/>
      <c r="AU1329" s="22"/>
      <c r="AV1329" s="21"/>
      <c r="AW1329" s="21"/>
      <c r="AX1329" s="21"/>
      <c r="AY1329" s="21"/>
      <c r="AZ1329" s="21"/>
      <c r="BA1329" s="21"/>
      <c r="BB1329" s="21"/>
      <c r="BC1329" s="21"/>
      <c r="BD1329" s="21"/>
      <c r="BE1329" s="21"/>
      <c r="BF1329" s="21"/>
      <c r="BG1329" s="21"/>
    </row>
    <row r="1330" spans="38:59">
      <c r="AL1330" s="21"/>
      <c r="AM1330" s="24"/>
      <c r="AN1330" s="21"/>
      <c r="AO1330" s="21"/>
      <c r="AP1330" s="64"/>
      <c r="AQ1330" s="64"/>
      <c r="AR1330" s="21"/>
      <c r="AS1330" s="21"/>
      <c r="AT1330" s="21"/>
      <c r="AU1330" s="22"/>
      <c r="AV1330" s="21"/>
      <c r="AW1330" s="21"/>
      <c r="AX1330" s="21"/>
      <c r="AY1330" s="21"/>
      <c r="AZ1330" s="21"/>
      <c r="BA1330" s="21"/>
      <c r="BB1330" s="21"/>
      <c r="BC1330" s="21"/>
      <c r="BD1330" s="21"/>
      <c r="BE1330" s="21"/>
      <c r="BF1330" s="21"/>
      <c r="BG1330" s="21"/>
    </row>
    <row r="1331" spans="38:59">
      <c r="AL1331" s="21"/>
      <c r="AM1331" s="24"/>
      <c r="AN1331" s="21"/>
      <c r="AO1331" s="21"/>
      <c r="AP1331" s="64"/>
      <c r="AQ1331" s="64"/>
      <c r="AR1331" s="21"/>
      <c r="AS1331" s="21"/>
      <c r="AT1331" s="21"/>
      <c r="AU1331" s="22"/>
      <c r="AV1331" s="21"/>
      <c r="AW1331" s="21"/>
      <c r="AX1331" s="21"/>
      <c r="AY1331" s="21"/>
      <c r="AZ1331" s="21"/>
      <c r="BA1331" s="21"/>
      <c r="BB1331" s="21"/>
      <c r="BC1331" s="21"/>
      <c r="BD1331" s="21"/>
      <c r="BE1331" s="21"/>
      <c r="BF1331" s="21"/>
      <c r="BG1331" s="21"/>
    </row>
    <row r="1332" spans="38:59">
      <c r="AL1332" s="21"/>
      <c r="AM1332" s="24"/>
      <c r="AN1332" s="21"/>
      <c r="AO1332" s="21"/>
      <c r="AP1332" s="64"/>
      <c r="AQ1332" s="64"/>
      <c r="AR1332" s="21"/>
      <c r="AS1332" s="21"/>
      <c r="AT1332" s="21"/>
      <c r="AU1332" s="22"/>
      <c r="AV1332" s="21"/>
      <c r="AW1332" s="21"/>
      <c r="AX1332" s="21"/>
      <c r="AY1332" s="21"/>
      <c r="AZ1332" s="21"/>
      <c r="BA1332" s="21"/>
      <c r="BB1332" s="21"/>
      <c r="BC1332" s="21"/>
      <c r="BD1332" s="21"/>
      <c r="BE1332" s="21"/>
      <c r="BF1332" s="21"/>
      <c r="BG1332" s="21"/>
    </row>
    <row r="1333" spans="38:59">
      <c r="AL1333" s="21"/>
      <c r="AM1333" s="24"/>
      <c r="AN1333" s="21"/>
      <c r="AO1333" s="21"/>
      <c r="AP1333" s="64"/>
      <c r="AQ1333" s="64"/>
      <c r="AR1333" s="21"/>
      <c r="AS1333" s="21"/>
      <c r="AT1333" s="21"/>
      <c r="AU1333" s="22"/>
      <c r="AV1333" s="21"/>
      <c r="AW1333" s="21"/>
      <c r="AX1333" s="21"/>
      <c r="AY1333" s="21"/>
      <c r="AZ1333" s="21"/>
      <c r="BA1333" s="21"/>
      <c r="BB1333" s="21"/>
      <c r="BC1333" s="21"/>
      <c r="BD1333" s="21"/>
      <c r="BE1333" s="21"/>
      <c r="BF1333" s="21"/>
      <c r="BG1333" s="21"/>
    </row>
    <row r="1334" spans="38:59">
      <c r="AL1334" s="21"/>
      <c r="AM1334" s="24"/>
      <c r="AN1334" s="21"/>
      <c r="AO1334" s="21"/>
      <c r="AP1334" s="64"/>
      <c r="AQ1334" s="64"/>
      <c r="AR1334" s="21"/>
      <c r="AS1334" s="21"/>
      <c r="AT1334" s="21"/>
      <c r="AU1334" s="22"/>
      <c r="AV1334" s="21"/>
      <c r="AW1334" s="21"/>
      <c r="AX1334" s="21"/>
      <c r="AY1334" s="21"/>
      <c r="AZ1334" s="21"/>
      <c r="BA1334" s="21"/>
      <c r="BB1334" s="21"/>
      <c r="BC1334" s="21"/>
      <c r="BD1334" s="21"/>
      <c r="BE1334" s="21"/>
      <c r="BF1334" s="21"/>
      <c r="BG1334" s="21"/>
    </row>
    <row r="1335" spans="38:59">
      <c r="AL1335" s="21"/>
      <c r="AM1335" s="24"/>
      <c r="AN1335" s="21"/>
      <c r="AO1335" s="21"/>
      <c r="AP1335" s="64"/>
      <c r="AQ1335" s="64"/>
      <c r="AR1335" s="21"/>
      <c r="AS1335" s="21"/>
      <c r="AT1335" s="21"/>
      <c r="AU1335" s="22"/>
      <c r="AV1335" s="21"/>
      <c r="AW1335" s="21"/>
      <c r="AX1335" s="21"/>
      <c r="AY1335" s="21"/>
      <c r="AZ1335" s="21"/>
      <c r="BA1335" s="21"/>
      <c r="BB1335" s="21"/>
      <c r="BC1335" s="21"/>
      <c r="BD1335" s="21"/>
      <c r="BE1335" s="21"/>
      <c r="BF1335" s="21"/>
      <c r="BG1335" s="21"/>
    </row>
    <row r="1336" spans="38:59">
      <c r="AL1336" s="21"/>
      <c r="AM1336" s="24"/>
      <c r="AN1336" s="21"/>
      <c r="AO1336" s="21"/>
      <c r="AP1336" s="64"/>
      <c r="AQ1336" s="64"/>
      <c r="AR1336" s="21"/>
      <c r="AS1336" s="21"/>
      <c r="AT1336" s="21"/>
      <c r="AU1336" s="22"/>
      <c r="AV1336" s="21"/>
      <c r="AW1336" s="21"/>
      <c r="AX1336" s="21"/>
      <c r="AY1336" s="21"/>
      <c r="AZ1336" s="21"/>
      <c r="BA1336" s="21"/>
      <c r="BB1336" s="21"/>
      <c r="BC1336" s="21"/>
      <c r="BD1336" s="21"/>
      <c r="BE1336" s="21"/>
      <c r="BF1336" s="21"/>
      <c r="BG1336" s="21"/>
    </row>
    <row r="1337" spans="38:59">
      <c r="AL1337" s="21"/>
      <c r="AM1337" s="24"/>
      <c r="AN1337" s="21"/>
      <c r="AO1337" s="21"/>
      <c r="AP1337" s="64"/>
      <c r="AQ1337" s="64"/>
      <c r="AR1337" s="21"/>
      <c r="AS1337" s="21"/>
      <c r="AT1337" s="21"/>
      <c r="AU1337" s="22"/>
      <c r="AV1337" s="21"/>
      <c r="AW1337" s="21"/>
      <c r="AX1337" s="21"/>
      <c r="AY1337" s="21"/>
      <c r="AZ1337" s="21"/>
      <c r="BA1337" s="21"/>
      <c r="BB1337" s="21"/>
      <c r="BC1337" s="21"/>
      <c r="BD1337" s="21"/>
      <c r="BE1337" s="21"/>
      <c r="BF1337" s="21"/>
      <c r="BG1337" s="21"/>
    </row>
    <row r="1338" spans="38:59">
      <c r="AL1338" s="21"/>
      <c r="AM1338" s="24"/>
      <c r="AN1338" s="21"/>
      <c r="AO1338" s="21"/>
      <c r="AP1338" s="64"/>
      <c r="AQ1338" s="64"/>
      <c r="AR1338" s="21"/>
      <c r="AS1338" s="21"/>
      <c r="AT1338" s="21"/>
      <c r="AU1338" s="22"/>
      <c r="AV1338" s="21"/>
      <c r="AW1338" s="21"/>
      <c r="AX1338" s="21"/>
      <c r="AY1338" s="21"/>
      <c r="AZ1338" s="21"/>
      <c r="BA1338" s="21"/>
      <c r="BB1338" s="21"/>
      <c r="BC1338" s="21"/>
      <c r="BD1338" s="21"/>
      <c r="BE1338" s="21"/>
      <c r="BF1338" s="21"/>
      <c r="BG1338" s="21"/>
    </row>
    <row r="1339" spans="38:59">
      <c r="AL1339" s="21"/>
      <c r="AM1339" s="24"/>
      <c r="AN1339" s="21"/>
      <c r="AO1339" s="21"/>
      <c r="AP1339" s="64"/>
      <c r="AQ1339" s="64"/>
      <c r="AR1339" s="21"/>
      <c r="AS1339" s="21"/>
      <c r="AT1339" s="21"/>
      <c r="AU1339" s="22"/>
      <c r="AV1339" s="21"/>
      <c r="AW1339" s="21"/>
      <c r="AX1339" s="21"/>
      <c r="AY1339" s="21"/>
      <c r="AZ1339" s="21"/>
      <c r="BA1339" s="21"/>
      <c r="BB1339" s="21"/>
      <c r="BC1339" s="21"/>
      <c r="BD1339" s="21"/>
      <c r="BE1339" s="21"/>
      <c r="BF1339" s="21"/>
      <c r="BG1339" s="21"/>
    </row>
    <row r="1340" spans="38:59">
      <c r="AL1340" s="21"/>
      <c r="AM1340" s="24"/>
      <c r="AN1340" s="21"/>
      <c r="AO1340" s="21"/>
      <c r="AP1340" s="64"/>
      <c r="AQ1340" s="64"/>
      <c r="AR1340" s="21"/>
      <c r="AS1340" s="21"/>
      <c r="AT1340" s="21"/>
      <c r="AU1340" s="22"/>
      <c r="AV1340" s="21"/>
      <c r="AW1340" s="21"/>
      <c r="AX1340" s="21"/>
      <c r="AY1340" s="21"/>
      <c r="AZ1340" s="21"/>
      <c r="BA1340" s="21"/>
      <c r="BB1340" s="21"/>
      <c r="BC1340" s="21"/>
      <c r="BD1340" s="21"/>
      <c r="BE1340" s="21"/>
      <c r="BF1340" s="21"/>
      <c r="BG1340" s="21"/>
    </row>
    <row r="1341" spans="38:59">
      <c r="AL1341" s="21"/>
      <c r="AM1341" s="24"/>
      <c r="AN1341" s="21"/>
      <c r="AO1341" s="21"/>
      <c r="AP1341" s="64"/>
      <c r="AQ1341" s="64"/>
      <c r="AR1341" s="21"/>
      <c r="AS1341" s="21"/>
      <c r="AT1341" s="21"/>
      <c r="AU1341" s="22"/>
      <c r="AV1341" s="21"/>
      <c r="AW1341" s="21"/>
      <c r="AX1341" s="21"/>
      <c r="AY1341" s="21"/>
      <c r="AZ1341" s="21"/>
      <c r="BA1341" s="21"/>
      <c r="BB1341" s="21"/>
      <c r="BC1341" s="21"/>
      <c r="BD1341" s="21"/>
      <c r="BE1341" s="21"/>
      <c r="BF1341" s="21"/>
      <c r="BG1341" s="21"/>
    </row>
    <row r="1342" spans="38:59">
      <c r="AL1342" s="21"/>
      <c r="AM1342" s="24"/>
      <c r="AN1342" s="21"/>
      <c r="AO1342" s="21"/>
      <c r="AP1342" s="64"/>
      <c r="AQ1342" s="64"/>
      <c r="AR1342" s="21"/>
      <c r="AS1342" s="21"/>
      <c r="AT1342" s="21"/>
      <c r="AU1342" s="22"/>
      <c r="AV1342" s="21"/>
      <c r="AW1342" s="21"/>
      <c r="AX1342" s="21"/>
      <c r="AY1342" s="21"/>
      <c r="AZ1342" s="21"/>
      <c r="BA1342" s="21"/>
      <c r="BB1342" s="21"/>
      <c r="BC1342" s="21"/>
      <c r="BD1342" s="21"/>
      <c r="BE1342" s="21"/>
      <c r="BF1342" s="21"/>
      <c r="BG1342" s="21"/>
    </row>
    <row r="1343" spans="38:59">
      <c r="AL1343" s="21"/>
      <c r="AM1343" s="24"/>
      <c r="AN1343" s="21"/>
      <c r="AO1343" s="21"/>
      <c r="AP1343" s="64"/>
      <c r="AQ1343" s="64"/>
      <c r="AR1343" s="21"/>
      <c r="AS1343" s="21"/>
      <c r="AT1343" s="21"/>
      <c r="AU1343" s="22"/>
      <c r="AV1343" s="21"/>
      <c r="AW1343" s="21"/>
      <c r="AX1343" s="21"/>
      <c r="AY1343" s="21"/>
      <c r="AZ1343" s="21"/>
      <c r="BA1343" s="21"/>
      <c r="BB1343" s="21"/>
      <c r="BC1343" s="21"/>
      <c r="BD1343" s="21"/>
      <c r="BE1343" s="21"/>
      <c r="BF1343" s="21"/>
      <c r="BG1343" s="21"/>
    </row>
    <row r="1344" spans="38:59">
      <c r="AL1344" s="21"/>
      <c r="AM1344" s="24"/>
      <c r="AN1344" s="21"/>
      <c r="AO1344" s="21"/>
      <c r="AP1344" s="64"/>
      <c r="AQ1344" s="64"/>
      <c r="AR1344" s="21"/>
      <c r="AS1344" s="21"/>
      <c r="AT1344" s="21"/>
      <c r="AU1344" s="22"/>
      <c r="AV1344" s="21"/>
      <c r="AW1344" s="21"/>
      <c r="AX1344" s="21"/>
      <c r="AY1344" s="21"/>
      <c r="AZ1344" s="21"/>
      <c r="BA1344" s="21"/>
      <c r="BB1344" s="21"/>
      <c r="BC1344" s="21"/>
      <c r="BD1344" s="21"/>
      <c r="BE1344" s="21"/>
      <c r="BF1344" s="21"/>
      <c r="BG1344" s="21"/>
    </row>
    <row r="1345" spans="38:59">
      <c r="AL1345" s="21"/>
      <c r="AM1345" s="24"/>
      <c r="AN1345" s="21"/>
      <c r="AO1345" s="21"/>
      <c r="AP1345" s="64"/>
      <c r="AQ1345" s="64"/>
      <c r="AR1345" s="21"/>
      <c r="AS1345" s="21"/>
      <c r="AT1345" s="21"/>
      <c r="AU1345" s="22"/>
      <c r="AV1345" s="21"/>
      <c r="AW1345" s="21"/>
      <c r="AX1345" s="21"/>
      <c r="AY1345" s="21"/>
      <c r="AZ1345" s="21"/>
      <c r="BA1345" s="21"/>
      <c r="BB1345" s="21"/>
      <c r="BC1345" s="21"/>
      <c r="BD1345" s="21"/>
      <c r="BE1345" s="21"/>
      <c r="BF1345" s="21"/>
      <c r="BG1345" s="21"/>
    </row>
    <row r="1346" spans="38:59">
      <c r="AL1346" s="21"/>
      <c r="AM1346" s="24"/>
      <c r="AN1346" s="21"/>
      <c r="AO1346" s="21"/>
      <c r="AP1346" s="64"/>
      <c r="AQ1346" s="64"/>
      <c r="AR1346" s="21"/>
      <c r="AS1346" s="21"/>
      <c r="AT1346" s="21"/>
      <c r="AU1346" s="22"/>
      <c r="AV1346" s="21"/>
      <c r="AW1346" s="21"/>
      <c r="AX1346" s="21"/>
      <c r="AY1346" s="21"/>
      <c r="AZ1346" s="21"/>
      <c r="BA1346" s="21"/>
      <c r="BB1346" s="21"/>
      <c r="BC1346" s="21"/>
      <c r="BD1346" s="21"/>
      <c r="BE1346" s="21"/>
      <c r="BF1346" s="21"/>
      <c r="BG1346" s="21"/>
    </row>
    <row r="1347" spans="38:59">
      <c r="AL1347" s="21"/>
      <c r="AM1347" s="24"/>
      <c r="AN1347" s="21"/>
      <c r="AO1347" s="21"/>
      <c r="AP1347" s="64"/>
      <c r="AQ1347" s="64"/>
      <c r="AR1347" s="21"/>
      <c r="AS1347" s="21"/>
      <c r="AT1347" s="21"/>
      <c r="AU1347" s="22"/>
      <c r="AV1347" s="21"/>
      <c r="AW1347" s="21"/>
      <c r="AX1347" s="21"/>
      <c r="AY1347" s="21"/>
      <c r="AZ1347" s="21"/>
      <c r="BA1347" s="21"/>
      <c r="BB1347" s="21"/>
      <c r="BC1347" s="21"/>
      <c r="BD1347" s="21"/>
      <c r="BE1347" s="21"/>
      <c r="BF1347" s="21"/>
      <c r="BG1347" s="21"/>
    </row>
    <row r="1348" spans="38:59">
      <c r="AL1348" s="21"/>
      <c r="AM1348" s="24"/>
      <c r="AN1348" s="21"/>
      <c r="AO1348" s="21"/>
      <c r="AP1348" s="64"/>
      <c r="AQ1348" s="64"/>
      <c r="AR1348" s="21"/>
      <c r="AS1348" s="21"/>
      <c r="AT1348" s="21"/>
      <c r="AU1348" s="22"/>
      <c r="AV1348" s="21"/>
      <c r="AW1348" s="21"/>
      <c r="AX1348" s="21"/>
      <c r="AY1348" s="21"/>
      <c r="AZ1348" s="21"/>
      <c r="BA1348" s="21"/>
      <c r="BB1348" s="21"/>
      <c r="BC1348" s="21"/>
      <c r="BD1348" s="21"/>
      <c r="BE1348" s="21"/>
      <c r="BF1348" s="21"/>
      <c r="BG1348" s="21"/>
    </row>
    <row r="1349" spans="38:59">
      <c r="AL1349" s="21"/>
      <c r="AM1349" s="24"/>
      <c r="AN1349" s="21"/>
      <c r="AO1349" s="21"/>
      <c r="AP1349" s="64"/>
      <c r="AQ1349" s="64"/>
      <c r="AR1349" s="21"/>
      <c r="AS1349" s="21"/>
      <c r="AT1349" s="21"/>
      <c r="AU1349" s="22"/>
      <c r="AV1349" s="21"/>
      <c r="AW1349" s="21"/>
      <c r="AX1349" s="21"/>
      <c r="AY1349" s="21"/>
      <c r="AZ1349" s="21"/>
      <c r="BA1349" s="21"/>
      <c r="BB1349" s="21"/>
      <c r="BC1349" s="21"/>
      <c r="BD1349" s="21"/>
      <c r="BE1349" s="21"/>
      <c r="BF1349" s="21"/>
      <c r="BG1349" s="21"/>
    </row>
    <row r="1350" spans="38:59">
      <c r="AL1350" s="21"/>
      <c r="AM1350" s="24"/>
      <c r="AN1350" s="21"/>
      <c r="AO1350" s="21"/>
      <c r="AP1350" s="64"/>
      <c r="AQ1350" s="64"/>
      <c r="AR1350" s="21"/>
      <c r="AS1350" s="21"/>
      <c r="AT1350" s="21"/>
      <c r="AU1350" s="22"/>
      <c r="AV1350" s="21"/>
      <c r="AW1350" s="21"/>
      <c r="AX1350" s="21"/>
      <c r="AY1350" s="21"/>
      <c r="AZ1350" s="21"/>
      <c r="BA1350" s="21"/>
      <c r="BB1350" s="21"/>
      <c r="BC1350" s="21"/>
      <c r="BD1350" s="21"/>
      <c r="BE1350" s="21"/>
      <c r="BF1350" s="21"/>
      <c r="BG1350" s="21"/>
    </row>
    <row r="1351" spans="38:59">
      <c r="AL1351" s="21"/>
      <c r="AM1351" s="24"/>
      <c r="AN1351" s="21"/>
      <c r="AO1351" s="21"/>
      <c r="AP1351" s="64"/>
      <c r="AQ1351" s="64"/>
      <c r="AR1351" s="21"/>
      <c r="AS1351" s="21"/>
      <c r="AT1351" s="21"/>
      <c r="AU1351" s="22"/>
      <c r="AV1351" s="21"/>
      <c r="AW1351" s="21"/>
      <c r="AX1351" s="21"/>
      <c r="AY1351" s="21"/>
      <c r="AZ1351" s="21"/>
      <c r="BA1351" s="21"/>
      <c r="BB1351" s="21"/>
      <c r="BC1351" s="21"/>
      <c r="BD1351" s="21"/>
      <c r="BE1351" s="21"/>
      <c r="BF1351" s="21"/>
      <c r="BG1351" s="21"/>
    </row>
    <row r="1352" spans="38:59">
      <c r="AL1352" s="21"/>
      <c r="AM1352" s="24"/>
      <c r="AN1352" s="21"/>
      <c r="AO1352" s="21"/>
      <c r="AP1352" s="64"/>
      <c r="AQ1352" s="64"/>
      <c r="AR1352" s="21"/>
      <c r="AS1352" s="21"/>
      <c r="AT1352" s="21"/>
      <c r="AU1352" s="22"/>
      <c r="AV1352" s="21"/>
      <c r="AW1352" s="21"/>
      <c r="AX1352" s="21"/>
      <c r="AY1352" s="21"/>
      <c r="AZ1352" s="21"/>
      <c r="BA1352" s="21"/>
      <c r="BB1352" s="21"/>
      <c r="BC1352" s="21"/>
      <c r="BD1352" s="21"/>
      <c r="BE1352" s="21"/>
      <c r="BF1352" s="21"/>
      <c r="BG1352" s="21"/>
    </row>
    <row r="1353" spans="38:59">
      <c r="AL1353" s="21"/>
      <c r="AM1353" s="24"/>
      <c r="AN1353" s="21"/>
      <c r="AO1353" s="21"/>
      <c r="AP1353" s="64"/>
      <c r="AQ1353" s="64"/>
      <c r="AR1353" s="21"/>
      <c r="AS1353" s="21"/>
      <c r="AT1353" s="21"/>
      <c r="AU1353" s="22"/>
      <c r="AV1353" s="21"/>
      <c r="AW1353" s="21"/>
      <c r="AX1353" s="21"/>
      <c r="AY1353" s="21"/>
      <c r="AZ1353" s="21"/>
      <c r="BA1353" s="21"/>
      <c r="BB1353" s="21"/>
      <c r="BC1353" s="21"/>
      <c r="BD1353" s="21"/>
      <c r="BE1353" s="21"/>
      <c r="BF1353" s="21"/>
      <c r="BG1353" s="21"/>
    </row>
    <row r="1354" spans="38:59">
      <c r="AL1354" s="21"/>
      <c r="AM1354" s="24"/>
      <c r="AN1354" s="21"/>
      <c r="AO1354" s="21"/>
      <c r="AP1354" s="64"/>
      <c r="AQ1354" s="64"/>
      <c r="AR1354" s="21"/>
      <c r="AS1354" s="21"/>
      <c r="AT1354" s="21"/>
      <c r="AU1354" s="22"/>
      <c r="AV1354" s="21"/>
      <c r="AW1354" s="21"/>
      <c r="AX1354" s="21"/>
      <c r="AY1354" s="21"/>
      <c r="AZ1354" s="21"/>
      <c r="BA1354" s="21"/>
      <c r="BB1354" s="21"/>
      <c r="BC1354" s="21"/>
      <c r="BD1354" s="21"/>
      <c r="BE1354" s="21"/>
      <c r="BF1354" s="21"/>
      <c r="BG1354" s="21"/>
    </row>
    <row r="1355" spans="38:59">
      <c r="AL1355" s="21"/>
      <c r="AM1355" s="24"/>
      <c r="AN1355" s="21"/>
      <c r="AO1355" s="21"/>
      <c r="AP1355" s="64"/>
      <c r="AQ1355" s="64"/>
      <c r="AR1355" s="21"/>
      <c r="AS1355" s="21"/>
      <c r="AT1355" s="21"/>
      <c r="AU1355" s="22"/>
      <c r="AV1355" s="21"/>
      <c r="AW1355" s="21"/>
      <c r="AX1355" s="21"/>
      <c r="AY1355" s="21"/>
      <c r="AZ1355" s="21"/>
      <c r="BA1355" s="21"/>
      <c r="BB1355" s="21"/>
      <c r="BC1355" s="21"/>
      <c r="BD1355" s="21"/>
      <c r="BE1355" s="21"/>
      <c r="BF1355" s="21"/>
      <c r="BG1355" s="21"/>
    </row>
    <row r="1356" spans="38:59">
      <c r="AL1356" s="21"/>
      <c r="AM1356" s="24"/>
      <c r="AN1356" s="21"/>
      <c r="AO1356" s="21"/>
      <c r="AP1356" s="64"/>
      <c r="AQ1356" s="64"/>
      <c r="AR1356" s="21"/>
      <c r="AS1356" s="21"/>
      <c r="AT1356" s="21"/>
      <c r="AU1356" s="22"/>
      <c r="AV1356" s="21"/>
      <c r="AW1356" s="21"/>
      <c r="AX1356" s="21"/>
      <c r="AY1356" s="21"/>
      <c r="AZ1356" s="21"/>
      <c r="BA1356" s="21"/>
      <c r="BB1356" s="21"/>
      <c r="BC1356" s="21"/>
      <c r="BD1356" s="21"/>
      <c r="BE1356" s="21"/>
      <c r="BF1356" s="21"/>
      <c r="BG1356" s="21"/>
    </row>
    <row r="1357" spans="38:59">
      <c r="AL1357" s="21"/>
      <c r="AM1357" s="24"/>
      <c r="AN1357" s="21"/>
      <c r="AO1357" s="21"/>
      <c r="AP1357" s="64"/>
      <c r="AQ1357" s="64"/>
      <c r="AR1357" s="21"/>
      <c r="AS1357" s="21"/>
      <c r="AT1357" s="21"/>
      <c r="AU1357" s="22"/>
      <c r="AV1357" s="21"/>
      <c r="AW1357" s="21"/>
      <c r="AX1357" s="21"/>
      <c r="AY1357" s="21"/>
      <c r="AZ1357" s="21"/>
      <c r="BA1357" s="21"/>
      <c r="BB1357" s="21"/>
      <c r="BC1357" s="21"/>
      <c r="BD1357" s="21"/>
      <c r="BE1357" s="21"/>
      <c r="BF1357" s="21"/>
      <c r="BG1357" s="21"/>
    </row>
    <row r="1358" spans="38:59">
      <c r="AL1358" s="21"/>
      <c r="AM1358" s="24"/>
      <c r="AN1358" s="21"/>
      <c r="AO1358" s="21"/>
      <c r="AP1358" s="64"/>
      <c r="AQ1358" s="64"/>
      <c r="AR1358" s="21"/>
      <c r="AS1358" s="21"/>
      <c r="AT1358" s="21"/>
      <c r="AU1358" s="22"/>
      <c r="AV1358" s="21"/>
      <c r="AW1358" s="21"/>
      <c r="AX1358" s="21"/>
      <c r="AY1358" s="21"/>
      <c r="AZ1358" s="21"/>
      <c r="BA1358" s="21"/>
      <c r="BB1358" s="21"/>
      <c r="BC1358" s="21"/>
      <c r="BD1358" s="21"/>
      <c r="BE1358" s="21"/>
      <c r="BF1358" s="21"/>
      <c r="BG1358" s="21"/>
    </row>
    <row r="1359" spans="38:59">
      <c r="AL1359" s="21"/>
      <c r="AM1359" s="24"/>
      <c r="AN1359" s="21"/>
      <c r="AO1359" s="21"/>
      <c r="AP1359" s="64"/>
      <c r="AQ1359" s="64"/>
      <c r="AR1359" s="21"/>
      <c r="AS1359" s="21"/>
      <c r="AT1359" s="21"/>
      <c r="AU1359" s="22"/>
      <c r="AV1359" s="21"/>
      <c r="AW1359" s="21"/>
      <c r="AX1359" s="21"/>
      <c r="AY1359" s="21"/>
      <c r="AZ1359" s="21"/>
      <c r="BA1359" s="21"/>
      <c r="BB1359" s="21"/>
      <c r="BC1359" s="21"/>
      <c r="BD1359" s="21"/>
      <c r="BE1359" s="21"/>
      <c r="BF1359" s="21"/>
      <c r="BG1359" s="21"/>
    </row>
    <row r="1360" spans="38:59">
      <c r="AL1360" s="21"/>
      <c r="AM1360" s="24"/>
      <c r="AN1360" s="21"/>
      <c r="AO1360" s="21"/>
      <c r="AP1360" s="64"/>
      <c r="AQ1360" s="64"/>
      <c r="AR1360" s="21"/>
      <c r="AS1360" s="21"/>
      <c r="AT1360" s="21"/>
      <c r="AU1360" s="22"/>
      <c r="AV1360" s="21"/>
      <c r="AW1360" s="21"/>
      <c r="AX1360" s="21"/>
      <c r="AY1360" s="21"/>
      <c r="AZ1360" s="21"/>
      <c r="BA1360" s="21"/>
      <c r="BB1360" s="21"/>
      <c r="BC1360" s="21"/>
      <c r="BD1360" s="21"/>
      <c r="BE1360" s="21"/>
      <c r="BF1360" s="21"/>
      <c r="BG1360" s="21"/>
    </row>
    <row r="1361" spans="38:59">
      <c r="AL1361" s="21"/>
      <c r="AM1361" s="24"/>
      <c r="AN1361" s="21"/>
      <c r="AO1361" s="21"/>
      <c r="AP1361" s="64"/>
      <c r="AQ1361" s="64"/>
      <c r="AR1361" s="21"/>
      <c r="AS1361" s="21"/>
      <c r="AT1361" s="21"/>
      <c r="AU1361" s="22"/>
      <c r="AV1361" s="21"/>
      <c r="AW1361" s="21"/>
      <c r="AX1361" s="21"/>
      <c r="AY1361" s="21"/>
      <c r="AZ1361" s="21"/>
      <c r="BA1361" s="21"/>
      <c r="BB1361" s="21"/>
      <c r="BC1361" s="21"/>
      <c r="BD1361" s="21"/>
      <c r="BE1361" s="21"/>
      <c r="BF1361" s="21"/>
      <c r="BG1361" s="21"/>
    </row>
    <row r="1362" spans="38:59">
      <c r="AL1362" s="21"/>
      <c r="AM1362" s="24"/>
      <c r="AN1362" s="21"/>
      <c r="AO1362" s="21"/>
      <c r="AP1362" s="64"/>
      <c r="AQ1362" s="64"/>
      <c r="AR1362" s="21"/>
      <c r="AS1362" s="21"/>
      <c r="AT1362" s="21"/>
      <c r="AU1362" s="22"/>
      <c r="AV1362" s="21"/>
      <c r="AW1362" s="21"/>
      <c r="AX1362" s="21"/>
      <c r="AY1362" s="21"/>
      <c r="AZ1362" s="21"/>
      <c r="BA1362" s="21"/>
      <c r="BB1362" s="21"/>
      <c r="BC1362" s="21"/>
      <c r="BD1362" s="21"/>
      <c r="BE1362" s="21"/>
      <c r="BF1362" s="21"/>
      <c r="BG1362" s="21"/>
    </row>
    <row r="1363" spans="38:59">
      <c r="AL1363" s="21"/>
      <c r="AM1363" s="24"/>
      <c r="AN1363" s="21"/>
      <c r="AO1363" s="21"/>
      <c r="AP1363" s="64"/>
      <c r="AQ1363" s="64"/>
      <c r="AR1363" s="21"/>
      <c r="AS1363" s="21"/>
      <c r="AT1363" s="21"/>
      <c r="AU1363" s="22"/>
      <c r="AV1363" s="21"/>
      <c r="AW1363" s="21"/>
      <c r="AX1363" s="21"/>
      <c r="AY1363" s="21"/>
      <c r="AZ1363" s="21"/>
      <c r="BA1363" s="21"/>
      <c r="BB1363" s="21"/>
      <c r="BC1363" s="21"/>
      <c r="BD1363" s="21"/>
      <c r="BE1363" s="21"/>
      <c r="BF1363" s="21"/>
      <c r="BG1363" s="21"/>
    </row>
    <row r="1364" spans="38:59">
      <c r="AL1364" s="21"/>
      <c r="AM1364" s="24"/>
      <c r="AN1364" s="21"/>
      <c r="AO1364" s="21"/>
      <c r="AP1364" s="64"/>
      <c r="AQ1364" s="64"/>
      <c r="AR1364" s="21"/>
      <c r="AS1364" s="21"/>
      <c r="AT1364" s="21"/>
      <c r="AU1364" s="22"/>
      <c r="AV1364" s="21"/>
      <c r="AW1364" s="21"/>
      <c r="AX1364" s="21"/>
      <c r="AY1364" s="21"/>
      <c r="AZ1364" s="21"/>
      <c r="BA1364" s="21"/>
      <c r="BB1364" s="21"/>
      <c r="BC1364" s="21"/>
      <c r="BD1364" s="21"/>
      <c r="BE1364" s="21"/>
      <c r="BF1364" s="21"/>
      <c r="BG1364" s="21"/>
    </row>
    <row r="1365" spans="38:59">
      <c r="AL1365" s="21"/>
      <c r="AM1365" s="24"/>
      <c r="AN1365" s="21"/>
      <c r="AO1365" s="21"/>
      <c r="AP1365" s="64"/>
      <c r="AQ1365" s="64"/>
      <c r="AR1365" s="21"/>
      <c r="AS1365" s="21"/>
      <c r="AT1365" s="21"/>
      <c r="AU1365" s="22"/>
      <c r="AV1365" s="21"/>
      <c r="AW1365" s="21"/>
      <c r="AX1365" s="21"/>
      <c r="AY1365" s="21"/>
      <c r="AZ1365" s="21"/>
      <c r="BA1365" s="21"/>
      <c r="BB1365" s="21"/>
      <c r="BC1365" s="21"/>
      <c r="BD1365" s="21"/>
      <c r="BE1365" s="21"/>
      <c r="BF1365" s="21"/>
      <c r="BG1365" s="21"/>
    </row>
    <row r="1366" spans="38:59">
      <c r="AL1366" s="21"/>
      <c r="AM1366" s="24"/>
      <c r="AN1366" s="21"/>
      <c r="AO1366" s="21"/>
      <c r="AP1366" s="64"/>
      <c r="AQ1366" s="64"/>
      <c r="AR1366" s="21"/>
      <c r="AS1366" s="21"/>
      <c r="AT1366" s="21"/>
      <c r="AU1366" s="22"/>
      <c r="AV1366" s="21"/>
      <c r="AW1366" s="21"/>
      <c r="AX1366" s="21"/>
      <c r="AY1366" s="21"/>
      <c r="AZ1366" s="21"/>
      <c r="BA1366" s="21"/>
      <c r="BB1366" s="21"/>
      <c r="BC1366" s="21"/>
      <c r="BD1366" s="21"/>
      <c r="BE1366" s="21"/>
      <c r="BF1366" s="21"/>
      <c r="BG1366" s="21"/>
    </row>
    <row r="1367" spans="38:59">
      <c r="AL1367" s="21"/>
      <c r="AM1367" s="24"/>
      <c r="AN1367" s="21"/>
      <c r="AO1367" s="21"/>
      <c r="AP1367" s="64"/>
      <c r="AQ1367" s="64"/>
      <c r="AR1367" s="21"/>
      <c r="AS1367" s="21"/>
      <c r="AT1367" s="21"/>
      <c r="AU1367" s="22"/>
      <c r="AV1367" s="21"/>
      <c r="AW1367" s="21"/>
      <c r="AX1367" s="21"/>
      <c r="AY1367" s="21"/>
      <c r="AZ1367" s="21"/>
      <c r="BA1367" s="21"/>
      <c r="BB1367" s="21"/>
      <c r="BC1367" s="21"/>
      <c r="BD1367" s="21"/>
      <c r="BE1367" s="21"/>
      <c r="BF1367" s="21"/>
      <c r="BG1367" s="21"/>
    </row>
    <row r="1368" spans="38:59">
      <c r="AL1368" s="21"/>
      <c r="AM1368" s="24"/>
      <c r="AN1368" s="21"/>
      <c r="AO1368" s="21"/>
      <c r="AP1368" s="64"/>
      <c r="AQ1368" s="64"/>
      <c r="AR1368" s="21"/>
      <c r="AS1368" s="21"/>
      <c r="AT1368" s="21"/>
      <c r="AU1368" s="22"/>
      <c r="AV1368" s="21"/>
      <c r="AW1368" s="21"/>
      <c r="AX1368" s="21"/>
      <c r="AY1368" s="21"/>
      <c r="AZ1368" s="21"/>
      <c r="BA1368" s="21"/>
      <c r="BB1368" s="21"/>
      <c r="BC1368" s="21"/>
      <c r="BD1368" s="21"/>
      <c r="BE1368" s="21"/>
      <c r="BF1368" s="21"/>
      <c r="BG1368" s="21"/>
    </row>
    <row r="1369" spans="38:59">
      <c r="AL1369" s="21"/>
      <c r="AM1369" s="24"/>
      <c r="AN1369" s="21"/>
      <c r="AO1369" s="21"/>
      <c r="AP1369" s="64"/>
      <c r="AQ1369" s="64"/>
      <c r="AR1369" s="21"/>
      <c r="AS1369" s="21"/>
      <c r="AT1369" s="21"/>
      <c r="AU1369" s="22"/>
      <c r="AV1369" s="21"/>
      <c r="AW1369" s="21"/>
      <c r="AX1369" s="21"/>
      <c r="AY1369" s="21"/>
      <c r="AZ1369" s="21"/>
      <c r="BA1369" s="21"/>
      <c r="BB1369" s="21"/>
      <c r="BC1369" s="21"/>
      <c r="BD1369" s="21"/>
      <c r="BE1369" s="21"/>
      <c r="BF1369" s="21"/>
      <c r="BG1369" s="21"/>
    </row>
    <row r="1370" spans="38:59">
      <c r="AL1370" s="21"/>
      <c r="AM1370" s="24"/>
      <c r="AN1370" s="21"/>
      <c r="AO1370" s="21"/>
      <c r="AP1370" s="64"/>
      <c r="AQ1370" s="64"/>
      <c r="AR1370" s="21"/>
      <c r="AS1370" s="21"/>
      <c r="AT1370" s="21"/>
      <c r="AU1370" s="22"/>
      <c r="AV1370" s="21"/>
      <c r="AW1370" s="21"/>
      <c r="AX1370" s="21"/>
      <c r="AY1370" s="21"/>
      <c r="AZ1370" s="21"/>
      <c r="BA1370" s="21"/>
      <c r="BB1370" s="21"/>
      <c r="BC1370" s="21"/>
      <c r="BD1370" s="21"/>
      <c r="BE1370" s="21"/>
      <c r="BF1370" s="21"/>
      <c r="BG1370" s="21"/>
    </row>
    <row r="1371" spans="38:59">
      <c r="AL1371" s="21"/>
      <c r="AM1371" s="24"/>
      <c r="AN1371" s="21"/>
      <c r="AO1371" s="21"/>
      <c r="AP1371" s="64"/>
      <c r="AQ1371" s="64"/>
      <c r="AR1371" s="21"/>
      <c r="AS1371" s="21"/>
      <c r="AT1371" s="21"/>
      <c r="AU1371" s="22"/>
      <c r="AV1371" s="21"/>
      <c r="AW1371" s="21"/>
      <c r="AX1371" s="21"/>
      <c r="AY1371" s="21"/>
      <c r="AZ1371" s="21"/>
      <c r="BA1371" s="21"/>
      <c r="BB1371" s="21"/>
      <c r="BC1371" s="21"/>
      <c r="BD1371" s="21"/>
      <c r="BE1371" s="21"/>
      <c r="BF1371" s="21"/>
      <c r="BG1371" s="21"/>
    </row>
    <row r="1372" spans="38:59">
      <c r="AL1372" s="21"/>
      <c r="AM1372" s="24"/>
      <c r="AN1372" s="21"/>
      <c r="AO1372" s="21"/>
      <c r="AP1372" s="64"/>
      <c r="AQ1372" s="64"/>
      <c r="AR1372" s="21"/>
      <c r="AS1372" s="21"/>
      <c r="AT1372" s="21"/>
      <c r="AU1372" s="22"/>
      <c r="AV1372" s="21"/>
      <c r="AW1372" s="21"/>
      <c r="AX1372" s="21"/>
      <c r="AY1372" s="21"/>
      <c r="AZ1372" s="21"/>
      <c r="BA1372" s="21"/>
      <c r="BB1372" s="21"/>
      <c r="BC1372" s="21"/>
      <c r="BD1372" s="21"/>
      <c r="BE1372" s="21"/>
      <c r="BF1372" s="21"/>
      <c r="BG1372" s="21"/>
    </row>
    <row r="1373" spans="38:59">
      <c r="AL1373" s="21"/>
      <c r="AM1373" s="24"/>
      <c r="AN1373" s="21"/>
      <c r="AO1373" s="21"/>
      <c r="AP1373" s="64"/>
      <c r="AQ1373" s="64"/>
      <c r="AR1373" s="21"/>
      <c r="AS1373" s="21"/>
      <c r="AT1373" s="21"/>
      <c r="AU1373" s="22"/>
      <c r="AV1373" s="21"/>
      <c r="AW1373" s="21"/>
      <c r="AX1373" s="21"/>
      <c r="AY1373" s="21"/>
      <c r="AZ1373" s="21"/>
      <c r="BA1373" s="21"/>
      <c r="BB1373" s="21"/>
      <c r="BC1373" s="21"/>
      <c r="BD1373" s="21"/>
      <c r="BE1373" s="21"/>
      <c r="BF1373" s="21"/>
      <c r="BG1373" s="21"/>
    </row>
    <row r="1374" spans="38:59">
      <c r="AL1374" s="21"/>
      <c r="AM1374" s="24"/>
      <c r="AN1374" s="21"/>
      <c r="AO1374" s="21"/>
      <c r="AP1374" s="64"/>
      <c r="AQ1374" s="64"/>
      <c r="AR1374" s="21"/>
      <c r="AS1374" s="21"/>
      <c r="AT1374" s="21"/>
      <c r="AU1374" s="22"/>
      <c r="AV1374" s="21"/>
      <c r="AW1374" s="21"/>
      <c r="AX1374" s="21"/>
      <c r="AY1374" s="21"/>
      <c r="AZ1374" s="21"/>
      <c r="BA1374" s="21"/>
      <c r="BB1374" s="21"/>
      <c r="BC1374" s="21"/>
      <c r="BD1374" s="21"/>
      <c r="BE1374" s="21"/>
      <c r="BF1374" s="21"/>
      <c r="BG1374" s="21"/>
    </row>
    <row r="1375" spans="38:59">
      <c r="AL1375" s="21"/>
      <c r="AM1375" s="24"/>
      <c r="AN1375" s="21"/>
      <c r="AO1375" s="21"/>
      <c r="AP1375" s="64"/>
      <c r="AQ1375" s="64"/>
      <c r="AR1375" s="21"/>
      <c r="AS1375" s="21"/>
      <c r="AT1375" s="21"/>
      <c r="AU1375" s="22"/>
      <c r="AV1375" s="21"/>
      <c r="AW1375" s="21"/>
      <c r="AX1375" s="21"/>
      <c r="AY1375" s="21"/>
      <c r="AZ1375" s="21"/>
      <c r="BA1375" s="21"/>
      <c r="BB1375" s="21"/>
      <c r="BC1375" s="21"/>
      <c r="BD1375" s="21"/>
      <c r="BE1375" s="21"/>
      <c r="BF1375" s="21"/>
      <c r="BG1375" s="21"/>
    </row>
    <row r="1376" spans="38:59">
      <c r="AL1376" s="21"/>
      <c r="AM1376" s="24"/>
      <c r="AN1376" s="21"/>
      <c r="AO1376" s="21"/>
      <c r="AP1376" s="64"/>
      <c r="AQ1376" s="64"/>
      <c r="AR1376" s="21"/>
      <c r="AS1376" s="21"/>
      <c r="AT1376" s="21"/>
      <c r="AU1376" s="22"/>
      <c r="AV1376" s="21"/>
      <c r="AW1376" s="21"/>
      <c r="AX1376" s="21"/>
      <c r="AY1376" s="21"/>
      <c r="AZ1376" s="21"/>
      <c r="BA1376" s="21"/>
      <c r="BB1376" s="21"/>
      <c r="BC1376" s="21"/>
      <c r="BD1376" s="21"/>
      <c r="BE1376" s="21"/>
      <c r="BF1376" s="21"/>
      <c r="BG1376" s="21"/>
    </row>
    <row r="1377" spans="38:59">
      <c r="AL1377" s="21"/>
      <c r="AM1377" s="24"/>
      <c r="AN1377" s="21"/>
      <c r="AO1377" s="21"/>
      <c r="AP1377" s="64"/>
      <c r="AQ1377" s="64"/>
      <c r="AR1377" s="21"/>
      <c r="AS1377" s="21"/>
      <c r="AT1377" s="21"/>
      <c r="AU1377" s="22"/>
      <c r="AV1377" s="21"/>
      <c r="AW1377" s="21"/>
      <c r="AX1377" s="21"/>
      <c r="AY1377" s="21"/>
      <c r="AZ1377" s="21"/>
      <c r="BA1377" s="21"/>
      <c r="BB1377" s="21"/>
      <c r="BC1377" s="21"/>
      <c r="BD1377" s="21"/>
      <c r="BE1377" s="21"/>
      <c r="BF1377" s="21"/>
      <c r="BG1377" s="21"/>
    </row>
    <row r="1378" spans="38:59">
      <c r="AL1378" s="21"/>
      <c r="AM1378" s="24"/>
      <c r="AN1378" s="21"/>
      <c r="AO1378" s="21"/>
      <c r="AP1378" s="64"/>
      <c r="AQ1378" s="64"/>
      <c r="AR1378" s="21"/>
      <c r="AS1378" s="21"/>
      <c r="AT1378" s="21"/>
      <c r="AU1378" s="22"/>
      <c r="AV1378" s="21"/>
      <c r="AW1378" s="21"/>
      <c r="AX1378" s="21"/>
      <c r="AY1378" s="21"/>
      <c r="AZ1378" s="21"/>
      <c r="BA1378" s="21"/>
      <c r="BB1378" s="21"/>
      <c r="BC1378" s="21"/>
      <c r="BD1378" s="21"/>
      <c r="BE1378" s="21"/>
      <c r="BF1378" s="21"/>
      <c r="BG1378" s="21"/>
    </row>
    <row r="1379" spans="38:59">
      <c r="AL1379" s="21"/>
      <c r="AM1379" s="24"/>
      <c r="AN1379" s="21"/>
      <c r="AO1379" s="21"/>
      <c r="AP1379" s="64"/>
      <c r="AQ1379" s="64"/>
      <c r="AR1379" s="21"/>
      <c r="AS1379" s="21"/>
      <c r="AT1379" s="21"/>
      <c r="AU1379" s="22"/>
      <c r="AV1379" s="21"/>
      <c r="AW1379" s="21"/>
      <c r="AX1379" s="21"/>
      <c r="AY1379" s="21"/>
      <c r="AZ1379" s="21"/>
      <c r="BA1379" s="21"/>
      <c r="BB1379" s="21"/>
      <c r="BC1379" s="21"/>
      <c r="BD1379" s="21"/>
      <c r="BE1379" s="21"/>
      <c r="BF1379" s="21"/>
      <c r="BG1379" s="21"/>
    </row>
    <row r="1380" spans="38:59">
      <c r="AL1380" s="21"/>
      <c r="AM1380" s="24"/>
      <c r="AN1380" s="21"/>
      <c r="AO1380" s="21"/>
      <c r="AP1380" s="64"/>
      <c r="AQ1380" s="64"/>
      <c r="AR1380" s="21"/>
      <c r="AS1380" s="21"/>
      <c r="AT1380" s="21"/>
      <c r="AU1380" s="22"/>
      <c r="AV1380" s="21"/>
      <c r="AW1380" s="21"/>
      <c r="AX1380" s="21"/>
      <c r="AY1380" s="21"/>
      <c r="AZ1380" s="21"/>
      <c r="BA1380" s="21"/>
      <c r="BB1380" s="21"/>
      <c r="BC1380" s="21"/>
      <c r="BD1380" s="21"/>
      <c r="BE1380" s="21"/>
      <c r="BF1380" s="21"/>
      <c r="BG1380" s="21"/>
    </row>
    <row r="1381" spans="38:59">
      <c r="AL1381" s="21"/>
      <c r="AM1381" s="24"/>
      <c r="AN1381" s="21"/>
      <c r="AO1381" s="21"/>
      <c r="AP1381" s="64"/>
      <c r="AQ1381" s="64"/>
      <c r="AR1381" s="21"/>
      <c r="AS1381" s="21"/>
      <c r="AT1381" s="21"/>
      <c r="AU1381" s="22"/>
      <c r="AV1381" s="21"/>
      <c r="AW1381" s="21"/>
      <c r="AX1381" s="21"/>
      <c r="AY1381" s="21"/>
      <c r="AZ1381" s="21"/>
      <c r="BA1381" s="21"/>
      <c r="BB1381" s="21"/>
      <c r="BC1381" s="21"/>
      <c r="BD1381" s="21"/>
      <c r="BE1381" s="21"/>
      <c r="BF1381" s="21"/>
      <c r="BG1381" s="21"/>
    </row>
    <row r="1382" spans="38:59">
      <c r="AL1382" s="21"/>
      <c r="AM1382" s="24"/>
      <c r="AN1382" s="21"/>
      <c r="AO1382" s="21"/>
      <c r="AP1382" s="64"/>
      <c r="AQ1382" s="64"/>
      <c r="AR1382" s="21"/>
      <c r="AS1382" s="21"/>
      <c r="AT1382" s="21"/>
      <c r="AU1382" s="22"/>
      <c r="AV1382" s="21"/>
      <c r="AW1382" s="21"/>
      <c r="AX1382" s="21"/>
      <c r="AY1382" s="21"/>
      <c r="AZ1382" s="21"/>
      <c r="BA1382" s="21"/>
      <c r="BB1382" s="21"/>
      <c r="BC1382" s="21"/>
      <c r="BD1382" s="21"/>
      <c r="BE1382" s="21"/>
      <c r="BF1382" s="21"/>
      <c r="BG1382" s="21"/>
    </row>
    <row r="1383" spans="38:59">
      <c r="AL1383" s="21"/>
      <c r="AM1383" s="24"/>
      <c r="AN1383" s="21"/>
      <c r="AO1383" s="21"/>
      <c r="AP1383" s="64"/>
      <c r="AQ1383" s="64"/>
      <c r="AR1383" s="21"/>
      <c r="AS1383" s="21"/>
      <c r="AT1383" s="21"/>
      <c r="AU1383" s="22"/>
      <c r="AV1383" s="21"/>
      <c r="AW1383" s="21"/>
      <c r="AX1383" s="21"/>
      <c r="AY1383" s="21"/>
      <c r="AZ1383" s="21"/>
      <c r="BA1383" s="21"/>
      <c r="BB1383" s="21"/>
      <c r="BC1383" s="21"/>
      <c r="BD1383" s="21"/>
      <c r="BE1383" s="21"/>
      <c r="BF1383" s="21"/>
      <c r="BG1383" s="21"/>
    </row>
    <row r="1384" spans="38:59">
      <c r="AL1384" s="21"/>
      <c r="AM1384" s="24"/>
      <c r="AN1384" s="21"/>
      <c r="AO1384" s="21"/>
      <c r="AP1384" s="64"/>
      <c r="AQ1384" s="64"/>
      <c r="AR1384" s="21"/>
      <c r="AS1384" s="21"/>
      <c r="AT1384" s="21"/>
      <c r="AU1384" s="22"/>
      <c r="AV1384" s="21"/>
      <c r="AW1384" s="21"/>
      <c r="AX1384" s="21"/>
      <c r="AY1384" s="21"/>
      <c r="AZ1384" s="21"/>
      <c r="BA1384" s="21"/>
      <c r="BB1384" s="21"/>
      <c r="BC1384" s="21"/>
      <c r="BD1384" s="21"/>
      <c r="BE1384" s="21"/>
      <c r="BF1384" s="21"/>
      <c r="BG1384" s="21"/>
    </row>
    <row r="1385" spans="38:59">
      <c r="AL1385" s="21"/>
      <c r="AM1385" s="24"/>
      <c r="AN1385" s="21"/>
      <c r="AO1385" s="21"/>
      <c r="AP1385" s="64"/>
      <c r="AQ1385" s="64"/>
      <c r="AR1385" s="21"/>
      <c r="AS1385" s="21"/>
      <c r="AT1385" s="21"/>
      <c r="AU1385" s="22"/>
      <c r="AV1385" s="21"/>
      <c r="AW1385" s="21"/>
      <c r="AX1385" s="21"/>
      <c r="AY1385" s="21"/>
      <c r="AZ1385" s="21"/>
      <c r="BA1385" s="21"/>
      <c r="BB1385" s="21"/>
      <c r="BC1385" s="21"/>
      <c r="BD1385" s="21"/>
      <c r="BE1385" s="21"/>
      <c r="BF1385" s="21"/>
      <c r="BG1385" s="21"/>
    </row>
    <row r="1386" spans="38:59">
      <c r="AL1386" s="21"/>
      <c r="AM1386" s="24"/>
      <c r="AN1386" s="21"/>
      <c r="AO1386" s="21"/>
      <c r="AP1386" s="64"/>
      <c r="AQ1386" s="64"/>
      <c r="AR1386" s="21"/>
      <c r="AS1386" s="21"/>
      <c r="AT1386" s="21"/>
      <c r="AU1386" s="22"/>
      <c r="AV1386" s="21"/>
      <c r="AW1386" s="21"/>
      <c r="AX1386" s="21"/>
      <c r="AY1386" s="21"/>
      <c r="AZ1386" s="21"/>
      <c r="BA1386" s="21"/>
      <c r="BB1386" s="21"/>
      <c r="BC1386" s="21"/>
      <c r="BD1386" s="21"/>
      <c r="BE1386" s="21"/>
      <c r="BF1386" s="21"/>
      <c r="BG1386" s="21"/>
    </row>
    <row r="1387" spans="38:59">
      <c r="AL1387" s="21"/>
      <c r="AM1387" s="24"/>
      <c r="AN1387" s="21"/>
      <c r="AO1387" s="21"/>
      <c r="AP1387" s="64"/>
      <c r="AQ1387" s="64"/>
      <c r="AR1387" s="21"/>
      <c r="AS1387" s="21"/>
      <c r="AT1387" s="21"/>
      <c r="AU1387" s="22"/>
      <c r="AV1387" s="21"/>
      <c r="AW1387" s="21"/>
      <c r="AX1387" s="21"/>
      <c r="AY1387" s="21"/>
      <c r="AZ1387" s="21"/>
      <c r="BA1387" s="21"/>
      <c r="BB1387" s="21"/>
      <c r="BC1387" s="21"/>
      <c r="BD1387" s="21"/>
      <c r="BE1387" s="21"/>
      <c r="BF1387" s="21"/>
      <c r="BG1387" s="21"/>
    </row>
    <row r="1388" spans="38:59">
      <c r="AL1388" s="21"/>
      <c r="AM1388" s="24"/>
      <c r="AN1388" s="21"/>
      <c r="AO1388" s="21"/>
      <c r="AP1388" s="64"/>
      <c r="AQ1388" s="64"/>
      <c r="AR1388" s="21"/>
      <c r="AS1388" s="21"/>
      <c r="AT1388" s="21"/>
      <c r="AU1388" s="22"/>
      <c r="AV1388" s="21"/>
      <c r="AW1388" s="21"/>
      <c r="AX1388" s="21"/>
      <c r="AY1388" s="21"/>
      <c r="AZ1388" s="21"/>
      <c r="BA1388" s="21"/>
      <c r="BB1388" s="21"/>
      <c r="BC1388" s="21"/>
      <c r="BD1388" s="21"/>
      <c r="BE1388" s="21"/>
      <c r="BF1388" s="21"/>
      <c r="BG1388" s="21"/>
    </row>
    <row r="1389" spans="38:59">
      <c r="AL1389" s="21"/>
      <c r="AM1389" s="24"/>
      <c r="AN1389" s="21"/>
      <c r="AO1389" s="21"/>
      <c r="AP1389" s="64"/>
      <c r="AQ1389" s="64"/>
      <c r="AR1389" s="21"/>
      <c r="AS1389" s="21"/>
      <c r="AT1389" s="21"/>
      <c r="AU1389" s="22"/>
      <c r="AV1389" s="21"/>
      <c r="AW1389" s="21"/>
      <c r="AX1389" s="21"/>
      <c r="AY1389" s="21"/>
      <c r="AZ1389" s="21"/>
      <c r="BA1389" s="21"/>
      <c r="BB1389" s="21"/>
      <c r="BC1389" s="21"/>
      <c r="BD1389" s="21"/>
      <c r="BE1389" s="21"/>
      <c r="BF1389" s="21"/>
      <c r="BG1389" s="21"/>
    </row>
    <row r="1390" spans="38:59">
      <c r="AL1390" s="21"/>
      <c r="AM1390" s="24"/>
      <c r="AN1390" s="21"/>
      <c r="AO1390" s="21"/>
      <c r="AP1390" s="64"/>
      <c r="AQ1390" s="64"/>
      <c r="AR1390" s="21"/>
      <c r="AS1390" s="21"/>
      <c r="AT1390" s="21"/>
      <c r="AU1390" s="22"/>
      <c r="AV1390" s="21"/>
      <c r="AW1390" s="21"/>
      <c r="AX1390" s="21"/>
      <c r="AY1390" s="21"/>
      <c r="AZ1390" s="21"/>
      <c r="BA1390" s="21"/>
      <c r="BB1390" s="21"/>
      <c r="BC1390" s="21"/>
      <c r="BD1390" s="21"/>
      <c r="BE1390" s="21"/>
      <c r="BF1390" s="21"/>
      <c r="BG1390" s="21"/>
    </row>
    <row r="1391" spans="38:59">
      <c r="AL1391" s="21"/>
      <c r="AM1391" s="24"/>
      <c r="AN1391" s="21"/>
      <c r="AO1391" s="21"/>
      <c r="AP1391" s="64"/>
      <c r="AQ1391" s="64"/>
      <c r="AR1391" s="21"/>
      <c r="AS1391" s="21"/>
      <c r="AT1391" s="21"/>
      <c r="AU1391" s="22"/>
      <c r="AV1391" s="21"/>
      <c r="AW1391" s="21"/>
      <c r="AX1391" s="21"/>
      <c r="AY1391" s="21"/>
      <c r="AZ1391" s="21"/>
      <c r="BA1391" s="21"/>
      <c r="BB1391" s="21"/>
      <c r="BC1391" s="21"/>
      <c r="BD1391" s="21"/>
      <c r="BE1391" s="21"/>
      <c r="BF1391" s="21"/>
      <c r="BG1391" s="21"/>
    </row>
    <row r="1392" spans="38:59">
      <c r="AL1392" s="21"/>
      <c r="AM1392" s="24"/>
      <c r="AN1392" s="21"/>
      <c r="AO1392" s="21"/>
      <c r="AP1392" s="64"/>
      <c r="AQ1392" s="64"/>
      <c r="AR1392" s="21"/>
      <c r="AS1392" s="21"/>
      <c r="AT1392" s="21"/>
      <c r="AU1392" s="22"/>
      <c r="AV1392" s="21"/>
      <c r="AW1392" s="21"/>
      <c r="AX1392" s="21"/>
      <c r="AY1392" s="21"/>
      <c r="AZ1392" s="21"/>
      <c r="BA1392" s="21"/>
      <c r="BB1392" s="21"/>
      <c r="BC1392" s="21"/>
      <c r="BD1392" s="21"/>
      <c r="BE1392" s="21"/>
      <c r="BF1392" s="21"/>
      <c r="BG1392" s="21"/>
    </row>
    <row r="1393" spans="38:59">
      <c r="AL1393" s="21"/>
      <c r="AM1393" s="24"/>
      <c r="AN1393" s="21"/>
      <c r="AO1393" s="21"/>
      <c r="AP1393" s="64"/>
      <c r="AQ1393" s="64"/>
      <c r="AR1393" s="21"/>
      <c r="AS1393" s="21"/>
      <c r="AT1393" s="21"/>
      <c r="AU1393" s="22"/>
      <c r="AV1393" s="21"/>
      <c r="AW1393" s="21"/>
      <c r="AX1393" s="21"/>
      <c r="AY1393" s="21"/>
      <c r="AZ1393" s="21"/>
      <c r="BA1393" s="21"/>
      <c r="BB1393" s="21"/>
      <c r="BC1393" s="21"/>
      <c r="BD1393" s="21"/>
      <c r="BE1393" s="21"/>
      <c r="BF1393" s="21"/>
      <c r="BG1393" s="21"/>
    </row>
    <row r="1394" spans="38:59">
      <c r="AL1394" s="21"/>
      <c r="AM1394" s="24"/>
      <c r="AN1394" s="21"/>
      <c r="AO1394" s="21"/>
      <c r="AP1394" s="64"/>
      <c r="AQ1394" s="64"/>
      <c r="AR1394" s="21"/>
      <c r="AS1394" s="21"/>
      <c r="AT1394" s="21"/>
      <c r="AU1394" s="22"/>
      <c r="AV1394" s="21"/>
      <c r="AW1394" s="21"/>
      <c r="AX1394" s="21"/>
      <c r="AY1394" s="21"/>
      <c r="AZ1394" s="21"/>
      <c r="BA1394" s="21"/>
      <c r="BB1394" s="21"/>
      <c r="BC1394" s="21"/>
      <c r="BD1394" s="21"/>
      <c r="BE1394" s="21"/>
      <c r="BF1394" s="21"/>
      <c r="BG1394" s="21"/>
    </row>
    <row r="1395" spans="38:59">
      <c r="AL1395" s="21"/>
      <c r="AM1395" s="24"/>
      <c r="AN1395" s="21"/>
      <c r="AO1395" s="21"/>
      <c r="AP1395" s="64"/>
      <c r="AQ1395" s="64"/>
      <c r="AR1395" s="21"/>
      <c r="AS1395" s="21"/>
      <c r="AT1395" s="21"/>
      <c r="AU1395" s="22"/>
      <c r="AV1395" s="21"/>
      <c r="AW1395" s="21"/>
      <c r="AX1395" s="21"/>
      <c r="AY1395" s="21"/>
      <c r="AZ1395" s="21"/>
      <c r="BA1395" s="21"/>
      <c r="BB1395" s="21"/>
      <c r="BC1395" s="21"/>
      <c r="BD1395" s="21"/>
      <c r="BE1395" s="21"/>
      <c r="BF1395" s="21"/>
      <c r="BG1395" s="21"/>
    </row>
    <row r="1396" spans="38:59">
      <c r="AL1396" s="21"/>
      <c r="AM1396" s="24"/>
      <c r="AN1396" s="21"/>
      <c r="AO1396" s="21"/>
      <c r="AP1396" s="64"/>
      <c r="AQ1396" s="64"/>
      <c r="AR1396" s="21"/>
      <c r="AS1396" s="21"/>
      <c r="AT1396" s="21"/>
      <c r="AU1396" s="22"/>
      <c r="AV1396" s="21"/>
      <c r="AW1396" s="21"/>
      <c r="AX1396" s="21"/>
      <c r="AY1396" s="21"/>
      <c r="AZ1396" s="21"/>
      <c r="BA1396" s="21"/>
      <c r="BB1396" s="21"/>
      <c r="BC1396" s="21"/>
      <c r="BD1396" s="21"/>
      <c r="BE1396" s="21"/>
      <c r="BF1396" s="21"/>
      <c r="BG1396" s="21"/>
    </row>
    <row r="1397" spans="38:59">
      <c r="AL1397" s="21"/>
      <c r="AM1397" s="24"/>
      <c r="AN1397" s="21"/>
      <c r="AO1397" s="21"/>
      <c r="AP1397" s="64"/>
      <c r="AQ1397" s="64"/>
      <c r="AR1397" s="21"/>
      <c r="AS1397" s="21"/>
      <c r="AT1397" s="21"/>
      <c r="AU1397" s="22"/>
      <c r="AV1397" s="21"/>
      <c r="AW1397" s="21"/>
      <c r="AX1397" s="21"/>
      <c r="AY1397" s="21"/>
      <c r="AZ1397" s="21"/>
      <c r="BA1397" s="21"/>
      <c r="BB1397" s="21"/>
      <c r="BC1397" s="21"/>
      <c r="BD1397" s="21"/>
      <c r="BE1397" s="21"/>
      <c r="BF1397" s="21"/>
      <c r="BG1397" s="21"/>
    </row>
    <row r="1398" spans="38:59">
      <c r="AL1398" s="21"/>
      <c r="AM1398" s="24"/>
      <c r="AN1398" s="21"/>
      <c r="AO1398" s="21"/>
      <c r="AP1398" s="64"/>
      <c r="AQ1398" s="64"/>
      <c r="AR1398" s="21"/>
      <c r="AS1398" s="21"/>
      <c r="AT1398" s="21"/>
      <c r="AU1398" s="22"/>
      <c r="AV1398" s="21"/>
      <c r="AW1398" s="21"/>
      <c r="AX1398" s="21"/>
      <c r="AY1398" s="21"/>
      <c r="AZ1398" s="21"/>
      <c r="BA1398" s="21"/>
      <c r="BB1398" s="21"/>
      <c r="BC1398" s="21"/>
      <c r="BD1398" s="21"/>
      <c r="BE1398" s="21"/>
      <c r="BF1398" s="21"/>
      <c r="BG1398" s="21"/>
    </row>
    <row r="1399" spans="38:59">
      <c r="AL1399" s="21"/>
      <c r="AM1399" s="24"/>
      <c r="AN1399" s="21"/>
      <c r="AO1399" s="21"/>
      <c r="AP1399" s="64"/>
      <c r="AQ1399" s="64"/>
      <c r="AR1399" s="21"/>
      <c r="AS1399" s="21"/>
      <c r="AT1399" s="21"/>
      <c r="AU1399" s="22"/>
      <c r="AV1399" s="21"/>
      <c r="AW1399" s="21"/>
      <c r="AX1399" s="21"/>
      <c r="AY1399" s="21"/>
      <c r="AZ1399" s="21"/>
      <c r="BA1399" s="21"/>
      <c r="BB1399" s="21"/>
      <c r="BC1399" s="21"/>
      <c r="BD1399" s="21"/>
      <c r="BE1399" s="21"/>
      <c r="BF1399" s="21"/>
      <c r="BG1399" s="21"/>
    </row>
    <row r="1400" spans="38:59">
      <c r="AL1400" s="21"/>
      <c r="AM1400" s="24"/>
      <c r="AN1400" s="21"/>
      <c r="AO1400" s="21"/>
      <c r="AP1400" s="64"/>
      <c r="AQ1400" s="64"/>
      <c r="AR1400" s="21"/>
      <c r="AS1400" s="21"/>
      <c r="AT1400" s="21"/>
      <c r="AU1400" s="22"/>
      <c r="AV1400" s="21"/>
      <c r="AW1400" s="21"/>
      <c r="AX1400" s="21"/>
      <c r="AY1400" s="21"/>
      <c r="AZ1400" s="21"/>
      <c r="BA1400" s="21"/>
      <c r="BB1400" s="21"/>
      <c r="BC1400" s="21"/>
      <c r="BD1400" s="21"/>
      <c r="BE1400" s="21"/>
      <c r="BF1400" s="21"/>
      <c r="BG1400" s="21"/>
    </row>
    <row r="1401" spans="38:59">
      <c r="AL1401" s="21"/>
      <c r="AM1401" s="24"/>
      <c r="AN1401" s="21"/>
      <c r="AO1401" s="21"/>
      <c r="AP1401" s="64"/>
      <c r="AQ1401" s="64"/>
      <c r="AR1401" s="21"/>
      <c r="AS1401" s="21"/>
      <c r="AT1401" s="21"/>
      <c r="AU1401" s="22"/>
      <c r="AV1401" s="21"/>
      <c r="AW1401" s="21"/>
      <c r="AX1401" s="21"/>
      <c r="AY1401" s="21"/>
      <c r="AZ1401" s="21"/>
      <c r="BA1401" s="21"/>
      <c r="BB1401" s="21"/>
      <c r="BC1401" s="21"/>
      <c r="BD1401" s="21"/>
      <c r="BE1401" s="21"/>
      <c r="BF1401" s="21"/>
      <c r="BG1401" s="21"/>
    </row>
    <row r="1402" spans="38:59">
      <c r="AL1402" s="21"/>
      <c r="AM1402" s="24"/>
      <c r="AN1402" s="21"/>
      <c r="AO1402" s="21"/>
      <c r="AP1402" s="64"/>
      <c r="AQ1402" s="64"/>
      <c r="AR1402" s="21"/>
      <c r="AS1402" s="21"/>
      <c r="AT1402" s="21"/>
      <c r="AU1402" s="22"/>
      <c r="AV1402" s="21"/>
      <c r="AW1402" s="21"/>
      <c r="AX1402" s="21"/>
      <c r="AY1402" s="21"/>
      <c r="AZ1402" s="21"/>
      <c r="BA1402" s="21"/>
      <c r="BB1402" s="21"/>
      <c r="BC1402" s="21"/>
      <c r="BD1402" s="21"/>
      <c r="BE1402" s="21"/>
      <c r="BF1402" s="21"/>
      <c r="BG1402" s="21"/>
    </row>
    <row r="1403" spans="38:59">
      <c r="AL1403" s="21"/>
      <c r="AM1403" s="24"/>
      <c r="AN1403" s="21"/>
      <c r="AO1403" s="21"/>
      <c r="AP1403" s="64"/>
      <c r="AQ1403" s="64"/>
      <c r="AR1403" s="21"/>
      <c r="AS1403" s="21"/>
      <c r="AT1403" s="21"/>
      <c r="AU1403" s="22"/>
      <c r="AV1403" s="21"/>
      <c r="AW1403" s="21"/>
      <c r="AX1403" s="21"/>
      <c r="AY1403" s="21"/>
      <c r="AZ1403" s="21"/>
      <c r="BA1403" s="21"/>
      <c r="BB1403" s="21"/>
      <c r="BC1403" s="21"/>
      <c r="BD1403" s="21"/>
      <c r="BE1403" s="21"/>
      <c r="BF1403" s="21"/>
      <c r="BG1403" s="21"/>
    </row>
    <row r="1404" spans="38:59">
      <c r="AL1404" s="21"/>
      <c r="AM1404" s="24"/>
      <c r="AN1404" s="21"/>
      <c r="AO1404" s="21"/>
      <c r="AP1404" s="64"/>
      <c r="AQ1404" s="64"/>
      <c r="AR1404" s="21"/>
      <c r="AS1404" s="21"/>
      <c r="AT1404" s="21"/>
      <c r="AU1404" s="22"/>
      <c r="AV1404" s="21"/>
      <c r="AW1404" s="21"/>
      <c r="AX1404" s="21"/>
      <c r="AY1404" s="21"/>
      <c r="AZ1404" s="21"/>
      <c r="BA1404" s="21"/>
      <c r="BB1404" s="21"/>
      <c r="BC1404" s="21"/>
      <c r="BD1404" s="21"/>
      <c r="BE1404" s="21"/>
      <c r="BF1404" s="21"/>
      <c r="BG1404" s="21"/>
    </row>
    <row r="1405" spans="38:59">
      <c r="AL1405" s="21"/>
      <c r="AM1405" s="24"/>
      <c r="AN1405" s="21"/>
      <c r="AO1405" s="21"/>
      <c r="AP1405" s="64"/>
      <c r="AQ1405" s="64"/>
      <c r="AR1405" s="21"/>
      <c r="AS1405" s="21"/>
      <c r="AT1405" s="21"/>
      <c r="AU1405" s="22"/>
      <c r="AV1405" s="21"/>
      <c r="AW1405" s="21"/>
      <c r="AX1405" s="21"/>
      <c r="AY1405" s="21"/>
      <c r="AZ1405" s="21"/>
      <c r="BA1405" s="21"/>
      <c r="BB1405" s="21"/>
      <c r="BC1405" s="21"/>
      <c r="BD1405" s="21"/>
      <c r="BE1405" s="21"/>
      <c r="BF1405" s="21"/>
      <c r="BG1405" s="21"/>
    </row>
    <row r="1406" spans="38:59">
      <c r="AL1406" s="21"/>
      <c r="AM1406" s="24"/>
      <c r="AN1406" s="21"/>
      <c r="AO1406" s="21"/>
      <c r="AP1406" s="64"/>
      <c r="AQ1406" s="64"/>
      <c r="AR1406" s="21"/>
      <c r="AS1406" s="21"/>
      <c r="AT1406" s="21"/>
      <c r="AU1406" s="22"/>
      <c r="AV1406" s="21"/>
      <c r="AW1406" s="21"/>
      <c r="AX1406" s="21"/>
      <c r="AY1406" s="21"/>
      <c r="AZ1406" s="21"/>
      <c r="BA1406" s="21"/>
      <c r="BB1406" s="21"/>
      <c r="BC1406" s="21"/>
      <c r="BD1406" s="21"/>
      <c r="BE1406" s="21"/>
      <c r="BF1406" s="21"/>
      <c r="BG1406" s="21"/>
    </row>
    <row r="1407" spans="38:59">
      <c r="AL1407" s="21"/>
      <c r="AM1407" s="24"/>
      <c r="AN1407" s="21"/>
      <c r="AO1407" s="21"/>
      <c r="AP1407" s="64"/>
      <c r="AQ1407" s="64"/>
      <c r="AR1407" s="21"/>
      <c r="AS1407" s="21"/>
      <c r="AT1407" s="21"/>
      <c r="AU1407" s="22"/>
      <c r="AV1407" s="21"/>
      <c r="AW1407" s="21"/>
      <c r="AX1407" s="21"/>
      <c r="AY1407" s="21"/>
      <c r="AZ1407" s="21"/>
      <c r="BA1407" s="21"/>
      <c r="BB1407" s="21"/>
      <c r="BC1407" s="21"/>
      <c r="BD1407" s="21"/>
      <c r="BE1407" s="21"/>
      <c r="BF1407" s="21"/>
      <c r="BG1407" s="21"/>
    </row>
    <row r="1408" spans="38:59">
      <c r="AL1408" s="21"/>
      <c r="AM1408" s="24"/>
      <c r="AN1408" s="21"/>
      <c r="AO1408" s="21"/>
      <c r="AP1408" s="64"/>
      <c r="AQ1408" s="64"/>
      <c r="AR1408" s="21"/>
      <c r="AS1408" s="21"/>
      <c r="AT1408" s="21"/>
      <c r="AU1408" s="22"/>
      <c r="AV1408" s="21"/>
      <c r="AW1408" s="21"/>
      <c r="AX1408" s="21"/>
      <c r="AY1408" s="21"/>
      <c r="AZ1408" s="21"/>
      <c r="BA1408" s="21"/>
      <c r="BB1408" s="21"/>
      <c r="BC1408" s="21"/>
      <c r="BD1408" s="21"/>
      <c r="BE1408" s="21"/>
      <c r="BF1408" s="21"/>
      <c r="BG1408" s="21"/>
    </row>
    <row r="1409" spans="38:59">
      <c r="AL1409" s="21"/>
      <c r="AM1409" s="24"/>
      <c r="AN1409" s="21"/>
      <c r="AO1409" s="21"/>
      <c r="AP1409" s="64"/>
      <c r="AQ1409" s="64"/>
      <c r="AR1409" s="21"/>
      <c r="AS1409" s="21"/>
      <c r="AT1409" s="21"/>
      <c r="AU1409" s="22"/>
      <c r="AV1409" s="21"/>
      <c r="AW1409" s="21"/>
      <c r="AX1409" s="21"/>
      <c r="AY1409" s="21"/>
      <c r="AZ1409" s="21"/>
      <c r="BA1409" s="21"/>
      <c r="BB1409" s="21"/>
      <c r="BC1409" s="21"/>
      <c r="BD1409" s="21"/>
      <c r="BE1409" s="21"/>
      <c r="BF1409" s="21"/>
      <c r="BG1409" s="21"/>
    </row>
    <row r="1410" spans="38:59">
      <c r="AL1410" s="21"/>
      <c r="AM1410" s="24"/>
      <c r="AN1410" s="21"/>
      <c r="AO1410" s="21"/>
      <c r="AP1410" s="64"/>
      <c r="AQ1410" s="64"/>
      <c r="AR1410" s="21"/>
      <c r="AS1410" s="21"/>
      <c r="AT1410" s="21"/>
      <c r="AU1410" s="22"/>
      <c r="AV1410" s="21"/>
      <c r="AW1410" s="21"/>
      <c r="AX1410" s="21"/>
      <c r="AY1410" s="21"/>
      <c r="AZ1410" s="21"/>
      <c r="BA1410" s="21"/>
      <c r="BB1410" s="21"/>
      <c r="BC1410" s="21"/>
      <c r="BD1410" s="21"/>
      <c r="BE1410" s="21"/>
      <c r="BF1410" s="21"/>
      <c r="BG1410" s="21"/>
    </row>
    <row r="1411" spans="38:59">
      <c r="AL1411" s="21"/>
      <c r="AM1411" s="24"/>
      <c r="AN1411" s="21"/>
      <c r="AO1411" s="21"/>
      <c r="AP1411" s="64"/>
      <c r="AQ1411" s="64"/>
      <c r="AR1411" s="21"/>
      <c r="AS1411" s="21"/>
      <c r="AT1411" s="21"/>
      <c r="AU1411" s="22"/>
      <c r="AV1411" s="21"/>
      <c r="AW1411" s="21"/>
      <c r="AX1411" s="21"/>
      <c r="AY1411" s="21"/>
      <c r="AZ1411" s="21"/>
      <c r="BA1411" s="21"/>
      <c r="BB1411" s="21"/>
      <c r="BC1411" s="21"/>
      <c r="BD1411" s="21"/>
      <c r="BE1411" s="21"/>
      <c r="BF1411" s="21"/>
      <c r="BG1411" s="21"/>
    </row>
    <row r="1412" spans="38:59">
      <c r="AL1412" s="21"/>
      <c r="AM1412" s="24"/>
      <c r="AN1412" s="21"/>
      <c r="AO1412" s="21"/>
      <c r="AP1412" s="64"/>
      <c r="AQ1412" s="64"/>
      <c r="AR1412" s="21"/>
      <c r="AS1412" s="21"/>
      <c r="AT1412" s="21"/>
      <c r="AU1412" s="22"/>
      <c r="AV1412" s="21"/>
      <c r="AW1412" s="21"/>
      <c r="AX1412" s="21"/>
      <c r="AY1412" s="21"/>
      <c r="AZ1412" s="21"/>
      <c r="BA1412" s="21"/>
      <c r="BB1412" s="21"/>
      <c r="BC1412" s="21"/>
      <c r="BD1412" s="21"/>
      <c r="BE1412" s="21"/>
      <c r="BF1412" s="21"/>
      <c r="BG1412" s="21"/>
    </row>
    <row r="1413" spans="38:59">
      <c r="AL1413" s="21"/>
      <c r="AM1413" s="24"/>
      <c r="AN1413" s="21"/>
      <c r="AO1413" s="21"/>
      <c r="AP1413" s="64"/>
      <c r="AQ1413" s="64"/>
      <c r="AR1413" s="21"/>
      <c r="AS1413" s="21"/>
      <c r="AT1413" s="21"/>
      <c r="AU1413" s="22"/>
      <c r="AV1413" s="21"/>
      <c r="AW1413" s="21"/>
      <c r="AX1413" s="21"/>
      <c r="AY1413" s="21"/>
      <c r="AZ1413" s="21"/>
      <c r="BA1413" s="21"/>
      <c r="BB1413" s="21"/>
      <c r="BC1413" s="21"/>
      <c r="BD1413" s="21"/>
      <c r="BE1413" s="21"/>
      <c r="BF1413" s="21"/>
      <c r="BG1413" s="21"/>
    </row>
    <row r="1414" spans="38:59">
      <c r="AL1414" s="21"/>
      <c r="AM1414" s="24"/>
      <c r="AN1414" s="21"/>
      <c r="AO1414" s="21"/>
      <c r="AP1414" s="64"/>
      <c r="AQ1414" s="64"/>
      <c r="AR1414" s="21"/>
      <c r="AS1414" s="21"/>
      <c r="AT1414" s="21"/>
      <c r="AU1414" s="22"/>
      <c r="AV1414" s="21"/>
      <c r="AW1414" s="21"/>
      <c r="AX1414" s="21"/>
      <c r="AY1414" s="21"/>
      <c r="AZ1414" s="21"/>
      <c r="BA1414" s="21"/>
      <c r="BB1414" s="21"/>
      <c r="BC1414" s="21"/>
      <c r="BD1414" s="21"/>
      <c r="BE1414" s="21"/>
      <c r="BF1414" s="21"/>
      <c r="BG1414" s="21"/>
    </row>
    <row r="1415" spans="38:59">
      <c r="AL1415" s="21"/>
      <c r="AM1415" s="24"/>
      <c r="AN1415" s="21"/>
      <c r="AO1415" s="21"/>
      <c r="AP1415" s="64"/>
      <c r="AQ1415" s="64"/>
      <c r="AR1415" s="21"/>
      <c r="AS1415" s="21"/>
      <c r="AT1415" s="21"/>
      <c r="AU1415" s="22"/>
      <c r="AV1415" s="21"/>
      <c r="AW1415" s="21"/>
      <c r="AX1415" s="21"/>
      <c r="AY1415" s="21"/>
      <c r="AZ1415" s="21"/>
      <c r="BA1415" s="21"/>
      <c r="BB1415" s="21"/>
      <c r="BC1415" s="21"/>
      <c r="BD1415" s="21"/>
      <c r="BE1415" s="21"/>
      <c r="BF1415" s="21"/>
      <c r="BG1415" s="21"/>
    </row>
    <row r="1416" spans="38:59">
      <c r="AL1416" s="21"/>
      <c r="AM1416" s="24"/>
      <c r="AN1416" s="21"/>
      <c r="AO1416" s="21"/>
      <c r="AP1416" s="64"/>
      <c r="AQ1416" s="64"/>
      <c r="AR1416" s="21"/>
      <c r="AS1416" s="21"/>
      <c r="AT1416" s="21"/>
      <c r="AU1416" s="22"/>
      <c r="AV1416" s="21"/>
      <c r="AW1416" s="21"/>
      <c r="AX1416" s="21"/>
      <c r="AY1416" s="21"/>
      <c r="AZ1416" s="21"/>
      <c r="BA1416" s="21"/>
      <c r="BB1416" s="21"/>
      <c r="BC1416" s="21"/>
      <c r="BD1416" s="21"/>
      <c r="BE1416" s="21"/>
      <c r="BF1416" s="21"/>
      <c r="BG1416" s="21"/>
    </row>
    <row r="1417" spans="38:59">
      <c r="AL1417" s="21"/>
      <c r="AM1417" s="24"/>
      <c r="AN1417" s="21"/>
      <c r="AO1417" s="21"/>
      <c r="AP1417" s="64"/>
      <c r="AQ1417" s="64"/>
      <c r="AR1417" s="21"/>
      <c r="AS1417" s="21"/>
      <c r="AT1417" s="21"/>
      <c r="AU1417" s="22"/>
      <c r="AV1417" s="21"/>
      <c r="AW1417" s="21"/>
      <c r="AX1417" s="21"/>
      <c r="AY1417" s="21"/>
      <c r="AZ1417" s="21"/>
      <c r="BA1417" s="21"/>
      <c r="BB1417" s="21"/>
      <c r="BC1417" s="21"/>
      <c r="BD1417" s="21"/>
      <c r="BE1417" s="21"/>
      <c r="BF1417" s="21"/>
      <c r="BG1417" s="21"/>
    </row>
    <row r="1418" spans="38:59">
      <c r="AL1418" s="21"/>
      <c r="AM1418" s="24"/>
      <c r="AN1418" s="21"/>
      <c r="AO1418" s="21"/>
      <c r="AP1418" s="64"/>
      <c r="AQ1418" s="64"/>
      <c r="AR1418" s="21"/>
      <c r="AS1418" s="21"/>
      <c r="AT1418" s="21"/>
      <c r="AU1418" s="22"/>
      <c r="AV1418" s="21"/>
      <c r="AW1418" s="21"/>
      <c r="AX1418" s="21"/>
      <c r="AY1418" s="21"/>
      <c r="AZ1418" s="21"/>
      <c r="BA1418" s="21"/>
      <c r="BB1418" s="21"/>
      <c r="BC1418" s="21"/>
      <c r="BD1418" s="21"/>
      <c r="BE1418" s="21"/>
      <c r="BF1418" s="21"/>
      <c r="BG1418" s="21"/>
    </row>
    <row r="1419" spans="38:59">
      <c r="AL1419" s="21"/>
      <c r="AM1419" s="24"/>
      <c r="AN1419" s="21"/>
      <c r="AO1419" s="21"/>
      <c r="AP1419" s="64"/>
      <c r="AQ1419" s="64"/>
      <c r="AR1419" s="21"/>
      <c r="AS1419" s="21"/>
      <c r="AT1419" s="21"/>
      <c r="AU1419" s="22"/>
      <c r="AV1419" s="21"/>
      <c r="AW1419" s="21"/>
      <c r="AX1419" s="21"/>
      <c r="AY1419" s="21"/>
      <c r="AZ1419" s="21"/>
      <c r="BA1419" s="21"/>
      <c r="BB1419" s="21"/>
      <c r="BC1419" s="21"/>
      <c r="BD1419" s="21"/>
      <c r="BE1419" s="21"/>
      <c r="BF1419" s="21"/>
      <c r="BG1419" s="21"/>
    </row>
    <row r="1420" spans="38:59">
      <c r="AL1420" s="21"/>
      <c r="AM1420" s="24"/>
      <c r="AN1420" s="21"/>
      <c r="AO1420" s="21"/>
      <c r="AP1420" s="64"/>
      <c r="AQ1420" s="64"/>
      <c r="AR1420" s="21"/>
      <c r="AS1420" s="21"/>
      <c r="AT1420" s="21"/>
      <c r="AU1420" s="22"/>
      <c r="AV1420" s="21"/>
      <c r="AW1420" s="21"/>
      <c r="AX1420" s="21"/>
      <c r="AY1420" s="21"/>
      <c r="AZ1420" s="21"/>
      <c r="BA1420" s="21"/>
      <c r="BB1420" s="21"/>
      <c r="BC1420" s="21"/>
      <c r="BD1420" s="21"/>
      <c r="BE1420" s="21"/>
      <c r="BF1420" s="21"/>
      <c r="BG1420" s="21"/>
    </row>
    <row r="1421" spans="38:59">
      <c r="AL1421" s="21"/>
      <c r="AM1421" s="24"/>
      <c r="AN1421" s="21"/>
      <c r="AO1421" s="21"/>
      <c r="AP1421" s="64"/>
      <c r="AQ1421" s="64"/>
      <c r="AR1421" s="21"/>
      <c r="AS1421" s="21"/>
      <c r="AT1421" s="21"/>
      <c r="AU1421" s="22"/>
      <c r="AV1421" s="21"/>
      <c r="AW1421" s="21"/>
      <c r="AX1421" s="21"/>
      <c r="AY1421" s="21"/>
      <c r="AZ1421" s="21"/>
      <c r="BA1421" s="21"/>
      <c r="BB1421" s="21"/>
      <c r="BC1421" s="21"/>
      <c r="BD1421" s="21"/>
      <c r="BE1421" s="21"/>
      <c r="BF1421" s="21"/>
      <c r="BG1421" s="21"/>
    </row>
    <row r="1422" spans="38:59">
      <c r="AL1422" s="21"/>
      <c r="AM1422" s="24"/>
      <c r="AN1422" s="21"/>
      <c r="AO1422" s="21"/>
      <c r="AP1422" s="64"/>
      <c r="AQ1422" s="64"/>
      <c r="AR1422" s="21"/>
      <c r="AS1422" s="21"/>
      <c r="AT1422" s="21"/>
      <c r="AU1422" s="22"/>
      <c r="AV1422" s="21"/>
      <c r="AW1422" s="21"/>
      <c r="AX1422" s="21"/>
      <c r="AY1422" s="21"/>
      <c r="AZ1422" s="21"/>
      <c r="BA1422" s="21"/>
      <c r="BB1422" s="21"/>
      <c r="BC1422" s="21"/>
      <c r="BD1422" s="21"/>
      <c r="BE1422" s="21"/>
      <c r="BF1422" s="21"/>
      <c r="BG1422" s="21"/>
    </row>
    <row r="1423" spans="38:59">
      <c r="AL1423" s="21"/>
      <c r="AM1423" s="24"/>
      <c r="AN1423" s="21"/>
      <c r="AO1423" s="21"/>
      <c r="AP1423" s="64"/>
      <c r="AQ1423" s="64"/>
      <c r="AR1423" s="21"/>
      <c r="AS1423" s="21"/>
      <c r="AT1423" s="21"/>
      <c r="AU1423" s="22"/>
      <c r="AV1423" s="21"/>
      <c r="AW1423" s="21"/>
      <c r="AX1423" s="21"/>
      <c r="AY1423" s="21"/>
      <c r="AZ1423" s="21"/>
      <c r="BA1423" s="21"/>
      <c r="BB1423" s="21"/>
      <c r="BC1423" s="21"/>
      <c r="BD1423" s="21"/>
      <c r="BE1423" s="21"/>
      <c r="BF1423" s="21"/>
      <c r="BG1423" s="21"/>
    </row>
    <row r="1424" spans="38:59">
      <c r="AL1424" s="21"/>
      <c r="AM1424" s="24"/>
      <c r="AN1424" s="21"/>
      <c r="AO1424" s="21"/>
      <c r="AP1424" s="64"/>
      <c r="AQ1424" s="64"/>
      <c r="AR1424" s="21"/>
      <c r="AS1424" s="21"/>
      <c r="AT1424" s="21"/>
      <c r="AU1424" s="22"/>
      <c r="AV1424" s="21"/>
      <c r="AW1424" s="21"/>
      <c r="AX1424" s="21"/>
      <c r="AY1424" s="21"/>
      <c r="AZ1424" s="21"/>
      <c r="BA1424" s="21"/>
      <c r="BB1424" s="21"/>
      <c r="BC1424" s="21"/>
      <c r="BD1424" s="21"/>
      <c r="BE1424" s="21"/>
      <c r="BF1424" s="21"/>
      <c r="BG1424" s="21"/>
    </row>
    <row r="1425" spans="38:59">
      <c r="AL1425" s="21"/>
      <c r="AM1425" s="24"/>
      <c r="AN1425" s="21"/>
      <c r="AO1425" s="21"/>
      <c r="AP1425" s="64"/>
      <c r="AQ1425" s="64"/>
      <c r="AR1425" s="21"/>
      <c r="AS1425" s="21"/>
      <c r="AT1425" s="21"/>
      <c r="AU1425" s="22"/>
      <c r="AV1425" s="21"/>
      <c r="AW1425" s="21"/>
      <c r="AX1425" s="21"/>
      <c r="AY1425" s="21"/>
      <c r="AZ1425" s="21"/>
      <c r="BA1425" s="21"/>
      <c r="BB1425" s="21"/>
      <c r="BC1425" s="21"/>
      <c r="BD1425" s="21"/>
      <c r="BE1425" s="21"/>
      <c r="BF1425" s="21"/>
      <c r="BG1425" s="21"/>
    </row>
    <row r="1426" spans="38:59">
      <c r="AL1426" s="21"/>
      <c r="AM1426" s="24"/>
      <c r="AN1426" s="21"/>
      <c r="AO1426" s="21"/>
      <c r="AP1426" s="64"/>
      <c r="AQ1426" s="64"/>
      <c r="AR1426" s="21"/>
      <c r="AS1426" s="21"/>
      <c r="AT1426" s="21"/>
      <c r="AU1426" s="22"/>
      <c r="AV1426" s="21"/>
      <c r="AW1426" s="21"/>
      <c r="AX1426" s="21"/>
      <c r="AY1426" s="21"/>
      <c r="AZ1426" s="21"/>
      <c r="BA1426" s="21"/>
      <c r="BB1426" s="21"/>
      <c r="BC1426" s="21"/>
      <c r="BD1426" s="21"/>
      <c r="BE1426" s="21"/>
      <c r="BF1426" s="21"/>
      <c r="BG1426" s="21"/>
    </row>
    <row r="1427" spans="38:59">
      <c r="AL1427" s="21"/>
      <c r="AM1427" s="24"/>
      <c r="AN1427" s="21"/>
      <c r="AO1427" s="21"/>
      <c r="AP1427" s="64"/>
      <c r="AQ1427" s="64"/>
      <c r="AR1427" s="21"/>
      <c r="AS1427" s="21"/>
      <c r="AT1427" s="21"/>
      <c r="AU1427" s="22"/>
      <c r="AV1427" s="21"/>
      <c r="AW1427" s="21"/>
      <c r="AX1427" s="21"/>
      <c r="AY1427" s="21"/>
      <c r="AZ1427" s="21"/>
      <c r="BA1427" s="21"/>
      <c r="BB1427" s="21"/>
      <c r="BC1427" s="21"/>
      <c r="BD1427" s="21"/>
      <c r="BE1427" s="21"/>
      <c r="BF1427" s="21"/>
      <c r="BG1427" s="21"/>
    </row>
    <row r="1428" spans="38:59">
      <c r="AL1428" s="21"/>
      <c r="AM1428" s="24"/>
      <c r="AN1428" s="21"/>
      <c r="AO1428" s="21"/>
      <c r="AP1428" s="64"/>
      <c r="AQ1428" s="64"/>
      <c r="AR1428" s="21"/>
      <c r="AS1428" s="21"/>
      <c r="AT1428" s="21"/>
      <c r="AU1428" s="22"/>
      <c r="AV1428" s="21"/>
      <c r="AW1428" s="21"/>
      <c r="AX1428" s="21"/>
      <c r="AY1428" s="21"/>
      <c r="AZ1428" s="21"/>
      <c r="BA1428" s="21"/>
      <c r="BB1428" s="21"/>
      <c r="BC1428" s="21"/>
      <c r="BD1428" s="21"/>
      <c r="BE1428" s="21"/>
      <c r="BF1428" s="21"/>
      <c r="BG1428" s="21"/>
    </row>
    <row r="1429" spans="38:59">
      <c r="AL1429" s="21"/>
      <c r="AM1429" s="24"/>
      <c r="AN1429" s="21"/>
      <c r="AO1429" s="21"/>
      <c r="AP1429" s="64"/>
      <c r="AQ1429" s="64"/>
      <c r="AR1429" s="21"/>
      <c r="AS1429" s="21"/>
      <c r="AT1429" s="21"/>
      <c r="AU1429" s="22"/>
      <c r="AV1429" s="21"/>
      <c r="AW1429" s="21"/>
      <c r="AX1429" s="21"/>
      <c r="AY1429" s="21"/>
      <c r="AZ1429" s="21"/>
      <c r="BA1429" s="21"/>
      <c r="BB1429" s="21"/>
      <c r="BC1429" s="21"/>
      <c r="BD1429" s="21"/>
      <c r="BE1429" s="21"/>
      <c r="BF1429" s="21"/>
      <c r="BG1429" s="21"/>
    </row>
    <row r="1430" spans="38:59">
      <c r="AL1430" s="21"/>
      <c r="AM1430" s="24"/>
      <c r="AN1430" s="21"/>
      <c r="AO1430" s="21"/>
      <c r="AP1430" s="64"/>
      <c r="AQ1430" s="64"/>
      <c r="AR1430" s="21"/>
      <c r="AS1430" s="21"/>
      <c r="AT1430" s="21"/>
      <c r="AU1430" s="22"/>
      <c r="AV1430" s="21"/>
      <c r="AW1430" s="21"/>
      <c r="AX1430" s="21"/>
      <c r="AY1430" s="21"/>
      <c r="AZ1430" s="21"/>
      <c r="BA1430" s="21"/>
      <c r="BB1430" s="21"/>
      <c r="BC1430" s="21"/>
      <c r="BD1430" s="21"/>
      <c r="BE1430" s="21"/>
      <c r="BF1430" s="21"/>
      <c r="BG1430" s="21"/>
    </row>
    <row r="1431" spans="38:59">
      <c r="AL1431" s="21"/>
      <c r="AM1431" s="24"/>
      <c r="AN1431" s="21"/>
      <c r="AO1431" s="21"/>
      <c r="AP1431" s="64"/>
      <c r="AQ1431" s="64"/>
      <c r="AR1431" s="21"/>
      <c r="AS1431" s="21"/>
      <c r="AT1431" s="21"/>
      <c r="AU1431" s="22"/>
      <c r="AV1431" s="21"/>
      <c r="AW1431" s="21"/>
      <c r="AX1431" s="21"/>
      <c r="AY1431" s="21"/>
      <c r="AZ1431" s="21"/>
      <c r="BA1431" s="21"/>
      <c r="BB1431" s="21"/>
      <c r="BC1431" s="21"/>
      <c r="BD1431" s="21"/>
      <c r="BE1431" s="21"/>
      <c r="BF1431" s="21"/>
      <c r="BG1431" s="21"/>
    </row>
    <row r="1432" spans="38:59">
      <c r="AL1432" s="21"/>
      <c r="AM1432" s="24"/>
      <c r="AN1432" s="21"/>
      <c r="AO1432" s="21"/>
      <c r="AP1432" s="64"/>
      <c r="AQ1432" s="64"/>
      <c r="AR1432" s="21"/>
      <c r="AS1432" s="21"/>
      <c r="AT1432" s="21"/>
      <c r="AU1432" s="22"/>
      <c r="AV1432" s="21"/>
      <c r="AW1432" s="21"/>
      <c r="AX1432" s="21"/>
      <c r="AY1432" s="21"/>
      <c r="AZ1432" s="21"/>
      <c r="BA1432" s="21"/>
      <c r="BB1432" s="21"/>
      <c r="BC1432" s="21"/>
      <c r="BD1432" s="21"/>
      <c r="BE1432" s="21"/>
      <c r="BF1432" s="21"/>
      <c r="BG1432" s="21"/>
    </row>
    <row r="1433" spans="38:59">
      <c r="AL1433" s="21"/>
      <c r="AM1433" s="24"/>
      <c r="AN1433" s="21"/>
      <c r="AO1433" s="21"/>
      <c r="AP1433" s="64"/>
      <c r="AQ1433" s="64"/>
      <c r="AR1433" s="21"/>
      <c r="AS1433" s="21"/>
      <c r="AT1433" s="21"/>
      <c r="AU1433" s="22"/>
      <c r="AV1433" s="21"/>
      <c r="AW1433" s="21"/>
      <c r="AX1433" s="21"/>
      <c r="AY1433" s="21"/>
      <c r="AZ1433" s="21"/>
      <c r="BA1433" s="21"/>
      <c r="BB1433" s="21"/>
      <c r="BC1433" s="21"/>
      <c r="BD1433" s="21"/>
      <c r="BE1433" s="21"/>
      <c r="BF1433" s="21"/>
      <c r="BG1433" s="21"/>
    </row>
    <row r="1434" spans="38:59">
      <c r="AL1434" s="21"/>
      <c r="AM1434" s="24"/>
      <c r="AN1434" s="21"/>
      <c r="AO1434" s="21"/>
      <c r="AP1434" s="64"/>
      <c r="AQ1434" s="64"/>
      <c r="AR1434" s="21"/>
      <c r="AS1434" s="21"/>
      <c r="AT1434" s="21"/>
      <c r="AU1434" s="22"/>
      <c r="AV1434" s="21"/>
      <c r="AW1434" s="21"/>
      <c r="AX1434" s="21"/>
      <c r="AY1434" s="21"/>
      <c r="AZ1434" s="21"/>
      <c r="BA1434" s="21"/>
      <c r="BB1434" s="21"/>
      <c r="BC1434" s="21"/>
      <c r="BD1434" s="21"/>
      <c r="BE1434" s="21"/>
      <c r="BF1434" s="21"/>
      <c r="BG1434" s="21"/>
    </row>
    <row r="1435" spans="38:59">
      <c r="AL1435" s="21"/>
      <c r="AM1435" s="24"/>
      <c r="AN1435" s="21"/>
      <c r="AO1435" s="21"/>
      <c r="AP1435" s="64"/>
      <c r="AQ1435" s="64"/>
      <c r="AR1435" s="21"/>
      <c r="AS1435" s="21"/>
      <c r="AT1435" s="21"/>
      <c r="AU1435" s="22"/>
      <c r="AV1435" s="21"/>
      <c r="AW1435" s="21"/>
      <c r="AX1435" s="21"/>
      <c r="AY1435" s="21"/>
      <c r="AZ1435" s="21"/>
      <c r="BA1435" s="21"/>
      <c r="BB1435" s="21"/>
      <c r="BC1435" s="21"/>
      <c r="BD1435" s="21"/>
      <c r="BE1435" s="21"/>
      <c r="BF1435" s="21"/>
      <c r="BG1435" s="21"/>
    </row>
    <row r="1436" spans="38:59">
      <c r="AL1436" s="21"/>
      <c r="AM1436" s="24"/>
      <c r="AN1436" s="21"/>
      <c r="AO1436" s="21"/>
      <c r="AP1436" s="64"/>
      <c r="AQ1436" s="64"/>
      <c r="AR1436" s="21"/>
      <c r="AS1436" s="21"/>
      <c r="AT1436" s="21"/>
      <c r="AU1436" s="22"/>
      <c r="AV1436" s="21"/>
      <c r="AW1436" s="21"/>
      <c r="AX1436" s="21"/>
      <c r="AY1436" s="21"/>
      <c r="AZ1436" s="21"/>
      <c r="BA1436" s="21"/>
      <c r="BB1436" s="21"/>
      <c r="BC1436" s="21"/>
      <c r="BD1436" s="21"/>
      <c r="BE1436" s="21"/>
      <c r="BF1436" s="21"/>
      <c r="BG1436" s="21"/>
    </row>
    <row r="1437" spans="38:59">
      <c r="AL1437" s="21"/>
      <c r="AM1437" s="24"/>
      <c r="AN1437" s="21"/>
      <c r="AO1437" s="21"/>
      <c r="AP1437" s="64"/>
      <c r="AQ1437" s="64"/>
      <c r="AR1437" s="21"/>
      <c r="AS1437" s="21"/>
      <c r="AT1437" s="21"/>
      <c r="AU1437" s="22"/>
      <c r="AV1437" s="21"/>
      <c r="AW1437" s="21"/>
      <c r="AX1437" s="21"/>
      <c r="AY1437" s="21"/>
      <c r="AZ1437" s="21"/>
      <c r="BA1437" s="21"/>
      <c r="BB1437" s="21"/>
      <c r="BC1437" s="21"/>
      <c r="BD1437" s="21"/>
      <c r="BE1437" s="21"/>
      <c r="BF1437" s="21"/>
      <c r="BG1437" s="21"/>
    </row>
    <row r="1438" spans="38:59">
      <c r="AL1438" s="21"/>
      <c r="AM1438" s="24"/>
      <c r="AN1438" s="21"/>
      <c r="AO1438" s="21"/>
      <c r="AP1438" s="64"/>
      <c r="AQ1438" s="64"/>
      <c r="AR1438" s="21"/>
      <c r="AS1438" s="21"/>
      <c r="AT1438" s="21"/>
      <c r="AU1438" s="22"/>
      <c r="AV1438" s="21"/>
      <c r="AW1438" s="21"/>
      <c r="AX1438" s="21"/>
      <c r="AY1438" s="21"/>
      <c r="AZ1438" s="21"/>
      <c r="BA1438" s="21"/>
      <c r="BB1438" s="21"/>
      <c r="BC1438" s="21"/>
      <c r="BD1438" s="21"/>
      <c r="BE1438" s="21"/>
      <c r="BF1438" s="21"/>
      <c r="BG1438" s="21"/>
    </row>
    <row r="1439" spans="38:59">
      <c r="AL1439" s="21"/>
      <c r="AM1439" s="24"/>
      <c r="AN1439" s="21"/>
      <c r="AO1439" s="21"/>
      <c r="AP1439" s="64"/>
      <c r="AQ1439" s="64"/>
      <c r="AR1439" s="21"/>
      <c r="AS1439" s="21"/>
      <c r="AT1439" s="21"/>
      <c r="AU1439" s="22"/>
      <c r="AV1439" s="21"/>
      <c r="AW1439" s="21"/>
      <c r="AX1439" s="21"/>
      <c r="AY1439" s="21"/>
      <c r="AZ1439" s="21"/>
      <c r="BA1439" s="21"/>
      <c r="BB1439" s="21"/>
      <c r="BC1439" s="21"/>
      <c r="BD1439" s="21"/>
      <c r="BE1439" s="21"/>
      <c r="BF1439" s="21"/>
      <c r="BG1439" s="21"/>
    </row>
    <row r="1440" spans="38:59">
      <c r="AL1440" s="21"/>
      <c r="AM1440" s="24"/>
      <c r="AN1440" s="21"/>
      <c r="AO1440" s="21"/>
      <c r="AP1440" s="64"/>
      <c r="AQ1440" s="64"/>
      <c r="AR1440" s="21"/>
      <c r="AS1440" s="21"/>
      <c r="AT1440" s="21"/>
      <c r="AU1440" s="22"/>
      <c r="AV1440" s="21"/>
      <c r="AW1440" s="21"/>
      <c r="AX1440" s="21"/>
      <c r="AY1440" s="21"/>
      <c r="AZ1440" s="21"/>
      <c r="BA1440" s="21"/>
      <c r="BB1440" s="21"/>
      <c r="BC1440" s="21"/>
      <c r="BD1440" s="21"/>
      <c r="BE1440" s="21"/>
      <c r="BF1440" s="21"/>
      <c r="BG1440" s="21"/>
    </row>
    <row r="1441" spans="38:59">
      <c r="AL1441" s="21"/>
      <c r="AM1441" s="24"/>
      <c r="AN1441" s="21"/>
      <c r="AO1441" s="21"/>
      <c r="AP1441" s="64"/>
      <c r="AQ1441" s="64"/>
      <c r="AR1441" s="21"/>
      <c r="AS1441" s="21"/>
      <c r="AT1441" s="21"/>
      <c r="AU1441" s="22"/>
      <c r="AV1441" s="21"/>
      <c r="AW1441" s="21"/>
      <c r="AX1441" s="21"/>
      <c r="AY1441" s="21"/>
      <c r="AZ1441" s="21"/>
      <c r="BA1441" s="21"/>
      <c r="BB1441" s="21"/>
      <c r="BC1441" s="21"/>
      <c r="BD1441" s="21"/>
      <c r="BE1441" s="21"/>
      <c r="BF1441" s="21"/>
      <c r="BG1441" s="21"/>
    </row>
    <row r="1442" spans="38:59">
      <c r="AL1442" s="21"/>
      <c r="AM1442" s="24"/>
      <c r="AN1442" s="21"/>
      <c r="AO1442" s="21"/>
      <c r="AP1442" s="64"/>
      <c r="AQ1442" s="64"/>
      <c r="AR1442" s="21"/>
      <c r="AS1442" s="21"/>
      <c r="AT1442" s="21"/>
      <c r="AU1442" s="22"/>
      <c r="AV1442" s="21"/>
      <c r="AW1442" s="21"/>
      <c r="AX1442" s="21"/>
      <c r="AY1442" s="21"/>
      <c r="AZ1442" s="21"/>
      <c r="BA1442" s="21"/>
      <c r="BB1442" s="21"/>
      <c r="BC1442" s="21"/>
      <c r="BD1442" s="21"/>
      <c r="BE1442" s="21"/>
      <c r="BF1442" s="21"/>
      <c r="BG1442" s="21"/>
    </row>
    <row r="1443" spans="38:59">
      <c r="AL1443" s="21"/>
      <c r="AM1443" s="24"/>
      <c r="AN1443" s="21"/>
      <c r="AO1443" s="21"/>
      <c r="AP1443" s="64"/>
      <c r="AQ1443" s="64"/>
      <c r="AR1443" s="21"/>
      <c r="AS1443" s="21"/>
      <c r="AT1443" s="21"/>
      <c r="AU1443" s="22"/>
      <c r="AV1443" s="21"/>
      <c r="AW1443" s="21"/>
      <c r="AX1443" s="21"/>
      <c r="AY1443" s="21"/>
      <c r="AZ1443" s="21"/>
      <c r="BA1443" s="21"/>
      <c r="BB1443" s="21"/>
      <c r="BC1443" s="21"/>
      <c r="BD1443" s="21"/>
      <c r="BE1443" s="21"/>
      <c r="BF1443" s="21"/>
      <c r="BG1443" s="21"/>
    </row>
    <row r="1444" spans="38:59">
      <c r="AL1444" s="21"/>
      <c r="AM1444" s="24"/>
      <c r="AN1444" s="21"/>
      <c r="AO1444" s="21"/>
      <c r="AP1444" s="64"/>
      <c r="AQ1444" s="64"/>
      <c r="AR1444" s="21"/>
      <c r="AS1444" s="21"/>
      <c r="AT1444" s="21"/>
      <c r="AU1444" s="22"/>
      <c r="AV1444" s="21"/>
      <c r="AW1444" s="21"/>
      <c r="AX1444" s="21"/>
      <c r="AY1444" s="21"/>
      <c r="AZ1444" s="21"/>
      <c r="BA1444" s="21"/>
      <c r="BB1444" s="21"/>
      <c r="BC1444" s="21"/>
      <c r="BD1444" s="21"/>
      <c r="BE1444" s="21"/>
      <c r="BF1444" s="21"/>
      <c r="BG1444" s="21"/>
    </row>
    <row r="1445" spans="38:59">
      <c r="AL1445" s="21"/>
      <c r="AM1445" s="24"/>
      <c r="AN1445" s="21"/>
      <c r="AO1445" s="21"/>
      <c r="AP1445" s="64"/>
      <c r="AQ1445" s="64"/>
      <c r="AR1445" s="21"/>
      <c r="AS1445" s="21"/>
      <c r="AT1445" s="21"/>
      <c r="AU1445" s="22"/>
      <c r="AV1445" s="21"/>
      <c r="AW1445" s="21"/>
      <c r="AX1445" s="21"/>
      <c r="AY1445" s="21"/>
      <c r="AZ1445" s="21"/>
      <c r="BA1445" s="21"/>
      <c r="BB1445" s="21"/>
      <c r="BC1445" s="21"/>
      <c r="BD1445" s="21"/>
      <c r="BE1445" s="21"/>
      <c r="BF1445" s="21"/>
      <c r="BG1445" s="21"/>
    </row>
    <row r="1446" spans="38:59">
      <c r="AL1446" s="21"/>
      <c r="AM1446" s="24"/>
      <c r="AN1446" s="21"/>
      <c r="AO1446" s="21"/>
      <c r="AP1446" s="64"/>
      <c r="AQ1446" s="64"/>
      <c r="AR1446" s="21"/>
      <c r="AS1446" s="21"/>
      <c r="AT1446" s="21"/>
      <c r="AU1446" s="22"/>
      <c r="AV1446" s="21"/>
      <c r="AW1446" s="21"/>
      <c r="AX1446" s="21"/>
      <c r="AY1446" s="21"/>
      <c r="AZ1446" s="21"/>
      <c r="BA1446" s="21"/>
      <c r="BB1446" s="21"/>
      <c r="BC1446" s="21"/>
      <c r="BD1446" s="21"/>
      <c r="BE1446" s="21"/>
      <c r="BF1446" s="21"/>
      <c r="BG1446" s="21"/>
    </row>
    <row r="1447" spans="38:59">
      <c r="AL1447" s="21"/>
      <c r="AM1447" s="24"/>
      <c r="AN1447" s="21"/>
      <c r="AO1447" s="21"/>
      <c r="AP1447" s="64"/>
      <c r="AQ1447" s="64"/>
      <c r="AR1447" s="21"/>
      <c r="AS1447" s="21"/>
      <c r="AT1447" s="21"/>
      <c r="AU1447" s="22"/>
      <c r="AV1447" s="21"/>
      <c r="AW1447" s="21"/>
      <c r="AX1447" s="21"/>
      <c r="AY1447" s="21"/>
      <c r="AZ1447" s="21"/>
      <c r="BA1447" s="21"/>
      <c r="BB1447" s="21"/>
      <c r="BC1447" s="21"/>
      <c r="BD1447" s="21"/>
      <c r="BE1447" s="21"/>
      <c r="BF1447" s="21"/>
      <c r="BG1447" s="21"/>
    </row>
    <row r="1448" spans="38:59">
      <c r="AL1448" s="21"/>
      <c r="AM1448" s="24"/>
      <c r="AN1448" s="21"/>
      <c r="AO1448" s="21"/>
      <c r="AP1448" s="64"/>
      <c r="AQ1448" s="64"/>
      <c r="AR1448" s="21"/>
      <c r="AS1448" s="21"/>
      <c r="AT1448" s="21"/>
      <c r="AU1448" s="22"/>
      <c r="AV1448" s="21"/>
      <c r="AW1448" s="21"/>
      <c r="AX1448" s="21"/>
      <c r="AY1448" s="21"/>
      <c r="AZ1448" s="21"/>
      <c r="BA1448" s="21"/>
      <c r="BB1448" s="21"/>
      <c r="BC1448" s="21"/>
      <c r="BD1448" s="21"/>
      <c r="BE1448" s="21"/>
      <c r="BF1448" s="21"/>
      <c r="BG1448" s="21"/>
    </row>
    <row r="1449" spans="38:59">
      <c r="AL1449" s="21"/>
      <c r="AM1449" s="24"/>
      <c r="AN1449" s="21"/>
      <c r="AO1449" s="21"/>
      <c r="AP1449" s="64"/>
      <c r="AQ1449" s="64"/>
      <c r="AR1449" s="21"/>
      <c r="AS1449" s="21"/>
      <c r="AT1449" s="21"/>
      <c r="AU1449" s="22"/>
      <c r="AV1449" s="21"/>
      <c r="AW1449" s="21"/>
      <c r="AX1449" s="21"/>
      <c r="AY1449" s="21"/>
      <c r="AZ1449" s="21"/>
      <c r="BA1449" s="21"/>
      <c r="BB1449" s="21"/>
      <c r="BC1449" s="21"/>
      <c r="BD1449" s="21"/>
      <c r="BE1449" s="21"/>
      <c r="BF1449" s="21"/>
      <c r="BG1449" s="21"/>
    </row>
    <row r="1450" spans="38:59">
      <c r="AL1450" s="21"/>
      <c r="AM1450" s="24"/>
      <c r="AN1450" s="21"/>
      <c r="AO1450" s="21"/>
      <c r="AP1450" s="64"/>
      <c r="AQ1450" s="64"/>
      <c r="AR1450" s="21"/>
      <c r="AS1450" s="21"/>
      <c r="AT1450" s="21"/>
      <c r="AU1450" s="22"/>
      <c r="AV1450" s="21"/>
      <c r="AW1450" s="21"/>
      <c r="AX1450" s="21"/>
      <c r="AY1450" s="21"/>
      <c r="AZ1450" s="21"/>
      <c r="BA1450" s="21"/>
      <c r="BB1450" s="21"/>
      <c r="BC1450" s="21"/>
      <c r="BD1450" s="21"/>
      <c r="BE1450" s="21"/>
      <c r="BF1450" s="21"/>
      <c r="BG1450" s="21"/>
    </row>
    <row r="1451" spans="38:59">
      <c r="AL1451" s="21"/>
      <c r="AM1451" s="24"/>
      <c r="AN1451" s="21"/>
      <c r="AO1451" s="21"/>
      <c r="AP1451" s="64"/>
      <c r="AQ1451" s="64"/>
      <c r="AR1451" s="21"/>
      <c r="AS1451" s="21"/>
      <c r="AT1451" s="21"/>
      <c r="AU1451" s="22"/>
      <c r="AV1451" s="21"/>
      <c r="AW1451" s="21"/>
      <c r="AX1451" s="21"/>
      <c r="AY1451" s="21"/>
      <c r="AZ1451" s="21"/>
      <c r="BA1451" s="21"/>
      <c r="BB1451" s="21"/>
      <c r="BC1451" s="21"/>
      <c r="BD1451" s="21"/>
      <c r="BE1451" s="21"/>
      <c r="BF1451" s="21"/>
      <c r="BG1451" s="21"/>
    </row>
    <row r="1452" spans="38:59">
      <c r="AL1452" s="21"/>
      <c r="AM1452" s="24"/>
      <c r="AN1452" s="21"/>
      <c r="AO1452" s="21"/>
      <c r="AP1452" s="64"/>
      <c r="AQ1452" s="64"/>
      <c r="AR1452" s="21"/>
      <c r="AS1452" s="21"/>
      <c r="AT1452" s="21"/>
      <c r="AU1452" s="22"/>
      <c r="AV1452" s="21"/>
      <c r="AW1452" s="21"/>
      <c r="AX1452" s="21"/>
      <c r="AY1452" s="21"/>
      <c r="AZ1452" s="21"/>
      <c r="BA1452" s="21"/>
      <c r="BB1452" s="21"/>
      <c r="BC1452" s="21"/>
      <c r="BD1452" s="21"/>
      <c r="BE1452" s="21"/>
      <c r="BF1452" s="21"/>
      <c r="BG1452" s="21"/>
    </row>
    <row r="1453" spans="38:59">
      <c r="AL1453" s="21"/>
      <c r="AM1453" s="24"/>
      <c r="AN1453" s="21"/>
      <c r="AO1453" s="21"/>
      <c r="AP1453" s="64"/>
      <c r="AQ1453" s="64"/>
      <c r="AR1453" s="21"/>
      <c r="AS1453" s="21"/>
      <c r="AT1453" s="21"/>
      <c r="AU1453" s="22"/>
      <c r="AV1453" s="21"/>
      <c r="AW1453" s="21"/>
      <c r="AX1453" s="21"/>
      <c r="AY1453" s="21"/>
      <c r="AZ1453" s="21"/>
      <c r="BA1453" s="21"/>
      <c r="BB1453" s="21"/>
      <c r="BC1453" s="21"/>
      <c r="BD1453" s="21"/>
      <c r="BE1453" s="21"/>
      <c r="BF1453" s="21"/>
      <c r="BG1453" s="21"/>
    </row>
    <row r="1454" spans="38:59">
      <c r="AL1454" s="21"/>
      <c r="AM1454" s="24"/>
      <c r="AN1454" s="21"/>
      <c r="AO1454" s="21"/>
      <c r="AP1454" s="64"/>
      <c r="AQ1454" s="64"/>
      <c r="AR1454" s="21"/>
      <c r="AS1454" s="21"/>
      <c r="AT1454" s="21"/>
      <c r="AU1454" s="22"/>
      <c r="AV1454" s="21"/>
      <c r="AW1454" s="21"/>
      <c r="AX1454" s="21"/>
      <c r="AY1454" s="21"/>
      <c r="AZ1454" s="21"/>
      <c r="BA1454" s="21"/>
      <c r="BB1454" s="21"/>
      <c r="BC1454" s="21"/>
      <c r="BD1454" s="21"/>
      <c r="BE1454" s="21"/>
      <c r="BF1454" s="21"/>
      <c r="BG1454" s="21"/>
    </row>
    <row r="1455" spans="38:59">
      <c r="AL1455" s="21"/>
      <c r="AM1455" s="24"/>
      <c r="AN1455" s="21"/>
      <c r="AO1455" s="21"/>
      <c r="AP1455" s="64"/>
      <c r="AQ1455" s="64"/>
      <c r="AR1455" s="21"/>
      <c r="AS1455" s="21"/>
      <c r="AT1455" s="21"/>
      <c r="AU1455" s="22"/>
      <c r="AV1455" s="21"/>
      <c r="AW1455" s="21"/>
      <c r="AX1455" s="21"/>
      <c r="AY1455" s="21"/>
      <c r="AZ1455" s="21"/>
      <c r="BA1455" s="21"/>
      <c r="BB1455" s="21"/>
      <c r="BC1455" s="21"/>
      <c r="BD1455" s="21"/>
      <c r="BE1455" s="21"/>
      <c r="BF1455" s="21"/>
      <c r="BG1455" s="21"/>
    </row>
    <row r="1456" spans="38:59">
      <c r="AL1456" s="21"/>
      <c r="AM1456" s="24"/>
      <c r="AN1456" s="21"/>
      <c r="AO1456" s="21"/>
      <c r="AP1456" s="64"/>
      <c r="AQ1456" s="64"/>
      <c r="AR1456" s="21"/>
      <c r="AS1456" s="21"/>
      <c r="AT1456" s="21"/>
      <c r="AU1456" s="22"/>
      <c r="AV1456" s="21"/>
      <c r="AW1456" s="21"/>
      <c r="AX1456" s="21"/>
      <c r="AY1456" s="21"/>
      <c r="AZ1456" s="21"/>
      <c r="BA1456" s="21"/>
      <c r="BB1456" s="21"/>
      <c r="BC1456" s="21"/>
      <c r="BD1456" s="21"/>
      <c r="BE1456" s="21"/>
      <c r="BF1456" s="21"/>
      <c r="BG1456" s="21"/>
    </row>
    <row r="1457" spans="38:59">
      <c r="AL1457" s="21"/>
      <c r="AM1457" s="24"/>
      <c r="AN1457" s="21"/>
      <c r="AO1457" s="21"/>
      <c r="AP1457" s="64"/>
      <c r="AQ1457" s="64"/>
      <c r="AR1457" s="21"/>
      <c r="AS1457" s="21"/>
      <c r="AT1457" s="21"/>
      <c r="AU1457" s="22"/>
      <c r="AV1457" s="21"/>
      <c r="AW1457" s="21"/>
      <c r="AX1457" s="21"/>
      <c r="AY1457" s="21"/>
      <c r="AZ1457" s="21"/>
      <c r="BA1457" s="21"/>
      <c r="BB1457" s="21"/>
      <c r="BC1457" s="21"/>
      <c r="BD1457" s="21"/>
      <c r="BE1457" s="21"/>
      <c r="BF1457" s="21"/>
      <c r="BG1457" s="21"/>
    </row>
    <row r="1458" spans="38:59">
      <c r="AL1458" s="21"/>
      <c r="AM1458" s="24"/>
      <c r="AN1458" s="21"/>
      <c r="AO1458" s="21"/>
      <c r="AP1458" s="64"/>
      <c r="AQ1458" s="64"/>
      <c r="AR1458" s="21"/>
      <c r="AS1458" s="21"/>
      <c r="AT1458" s="21"/>
      <c r="AU1458" s="22"/>
      <c r="AV1458" s="21"/>
      <c r="AW1458" s="21"/>
      <c r="AX1458" s="21"/>
      <c r="AY1458" s="21"/>
      <c r="AZ1458" s="21"/>
      <c r="BA1458" s="21"/>
      <c r="BB1458" s="21"/>
      <c r="BC1458" s="21"/>
      <c r="BD1458" s="21"/>
      <c r="BE1458" s="21"/>
      <c r="BF1458" s="21"/>
      <c r="BG1458" s="21"/>
    </row>
    <row r="1459" spans="38:59">
      <c r="AL1459" s="21"/>
      <c r="AM1459" s="24"/>
      <c r="AN1459" s="21"/>
      <c r="AO1459" s="21"/>
      <c r="AP1459" s="64"/>
      <c r="AQ1459" s="64"/>
      <c r="AR1459" s="21"/>
      <c r="AS1459" s="21"/>
      <c r="AT1459" s="21"/>
      <c r="AU1459" s="22"/>
      <c r="AV1459" s="21"/>
      <c r="AW1459" s="21"/>
      <c r="AX1459" s="21"/>
      <c r="AY1459" s="21"/>
      <c r="AZ1459" s="21"/>
      <c r="BA1459" s="21"/>
      <c r="BB1459" s="21"/>
      <c r="BC1459" s="21"/>
      <c r="BD1459" s="21"/>
      <c r="BE1459" s="21"/>
      <c r="BF1459" s="21"/>
      <c r="BG1459" s="21"/>
    </row>
    <row r="1460" spans="38:59">
      <c r="AL1460" s="21"/>
      <c r="AM1460" s="24"/>
      <c r="AN1460" s="21"/>
      <c r="AO1460" s="21"/>
      <c r="AP1460" s="64"/>
      <c r="AQ1460" s="64"/>
      <c r="AR1460" s="21"/>
      <c r="AS1460" s="21"/>
      <c r="AT1460" s="21"/>
      <c r="AU1460" s="22"/>
      <c r="AV1460" s="21"/>
      <c r="AW1460" s="21"/>
      <c r="AX1460" s="21"/>
      <c r="AY1460" s="21"/>
      <c r="AZ1460" s="21"/>
      <c r="BA1460" s="21"/>
      <c r="BB1460" s="21"/>
      <c r="BC1460" s="21"/>
      <c r="BD1460" s="21"/>
      <c r="BE1460" s="21"/>
      <c r="BF1460" s="21"/>
      <c r="BG1460" s="21"/>
    </row>
    <row r="1461" spans="38:59">
      <c r="AL1461" s="21"/>
      <c r="AM1461" s="24"/>
      <c r="AN1461" s="21"/>
      <c r="AO1461" s="21"/>
      <c r="AP1461" s="64"/>
      <c r="AQ1461" s="64"/>
      <c r="AR1461" s="21"/>
      <c r="AS1461" s="21"/>
      <c r="AT1461" s="21"/>
      <c r="AU1461" s="22"/>
      <c r="AV1461" s="21"/>
      <c r="AW1461" s="21"/>
      <c r="AX1461" s="21"/>
      <c r="AY1461" s="21"/>
      <c r="AZ1461" s="21"/>
      <c r="BA1461" s="21"/>
      <c r="BB1461" s="21"/>
      <c r="BC1461" s="21"/>
      <c r="BD1461" s="21"/>
      <c r="BE1461" s="21"/>
      <c r="BF1461" s="21"/>
      <c r="BG1461" s="21"/>
    </row>
    <row r="1462" spans="38:59">
      <c r="AL1462" s="21"/>
      <c r="AM1462" s="24"/>
      <c r="AN1462" s="21"/>
      <c r="AO1462" s="21"/>
      <c r="AP1462" s="64"/>
      <c r="AQ1462" s="64"/>
      <c r="AR1462" s="21"/>
      <c r="AS1462" s="21"/>
      <c r="AT1462" s="21"/>
      <c r="AU1462" s="22"/>
      <c r="AV1462" s="21"/>
      <c r="AW1462" s="21"/>
      <c r="AX1462" s="21"/>
      <c r="AY1462" s="21"/>
      <c r="AZ1462" s="21"/>
      <c r="BA1462" s="21"/>
      <c r="BB1462" s="21"/>
      <c r="BC1462" s="21"/>
      <c r="BD1462" s="21"/>
      <c r="BE1462" s="21"/>
      <c r="BF1462" s="21"/>
      <c r="BG1462" s="21"/>
    </row>
    <row r="1463" spans="38:59">
      <c r="AL1463" s="21"/>
      <c r="AM1463" s="24"/>
      <c r="AN1463" s="21"/>
      <c r="AO1463" s="21"/>
      <c r="AP1463" s="64"/>
      <c r="AQ1463" s="64"/>
      <c r="AR1463" s="21"/>
      <c r="AS1463" s="21"/>
      <c r="AT1463" s="21"/>
      <c r="AU1463" s="22"/>
      <c r="AV1463" s="21"/>
      <c r="AW1463" s="21"/>
      <c r="AX1463" s="21"/>
      <c r="AY1463" s="21"/>
      <c r="AZ1463" s="21"/>
      <c r="BA1463" s="21"/>
      <c r="BB1463" s="21"/>
      <c r="BC1463" s="21"/>
      <c r="BD1463" s="21"/>
      <c r="BE1463" s="21"/>
      <c r="BF1463" s="21"/>
      <c r="BG1463" s="21"/>
    </row>
    <row r="1464" spans="38:59">
      <c r="AL1464" s="21"/>
      <c r="AM1464" s="24"/>
      <c r="AN1464" s="21"/>
      <c r="AO1464" s="21"/>
      <c r="AP1464" s="64"/>
      <c r="AQ1464" s="64"/>
      <c r="AR1464" s="21"/>
      <c r="AS1464" s="21"/>
      <c r="AT1464" s="21"/>
      <c r="AU1464" s="22"/>
      <c r="AV1464" s="21"/>
      <c r="AW1464" s="21"/>
      <c r="AX1464" s="21"/>
      <c r="AY1464" s="21"/>
      <c r="AZ1464" s="21"/>
      <c r="BA1464" s="21"/>
      <c r="BB1464" s="21"/>
      <c r="BC1464" s="21"/>
      <c r="BD1464" s="21"/>
      <c r="BE1464" s="21"/>
      <c r="BF1464" s="21"/>
      <c r="BG1464" s="21"/>
    </row>
    <row r="1465" spans="38:59">
      <c r="AL1465" s="21"/>
      <c r="AM1465" s="24"/>
      <c r="AN1465" s="21"/>
      <c r="AO1465" s="21"/>
      <c r="AP1465" s="64"/>
      <c r="AQ1465" s="64"/>
      <c r="AR1465" s="21"/>
      <c r="AS1465" s="21"/>
      <c r="AT1465" s="21"/>
      <c r="AU1465" s="22"/>
      <c r="AV1465" s="21"/>
      <c r="AW1465" s="21"/>
      <c r="AX1465" s="21"/>
      <c r="AY1465" s="21"/>
      <c r="AZ1465" s="21"/>
      <c r="BA1465" s="21"/>
      <c r="BB1465" s="21"/>
      <c r="BC1465" s="21"/>
      <c r="BD1465" s="21"/>
      <c r="BE1465" s="21"/>
      <c r="BF1465" s="21"/>
      <c r="BG1465" s="21"/>
    </row>
    <row r="1466" spans="38:59">
      <c r="AL1466" s="21"/>
      <c r="AM1466" s="24"/>
      <c r="AN1466" s="21"/>
      <c r="AO1466" s="21"/>
      <c r="AP1466" s="64"/>
      <c r="AQ1466" s="64"/>
      <c r="AR1466" s="21"/>
      <c r="AS1466" s="21"/>
      <c r="AT1466" s="21"/>
      <c r="AU1466" s="22"/>
      <c r="AV1466" s="21"/>
      <c r="AW1466" s="21"/>
      <c r="AX1466" s="21"/>
      <c r="AY1466" s="21"/>
      <c r="AZ1466" s="21"/>
      <c r="BA1466" s="21"/>
      <c r="BB1466" s="21"/>
      <c r="BC1466" s="21"/>
      <c r="BD1466" s="21"/>
      <c r="BE1466" s="21"/>
      <c r="BF1466" s="21"/>
      <c r="BG1466" s="21"/>
    </row>
    <row r="1467" spans="38:59">
      <c r="AL1467" s="21"/>
      <c r="AM1467" s="24"/>
      <c r="AN1467" s="21"/>
      <c r="AO1467" s="21"/>
      <c r="AP1467" s="64"/>
      <c r="AQ1467" s="64"/>
      <c r="AR1467" s="21"/>
      <c r="AS1467" s="21"/>
      <c r="AT1467" s="21"/>
      <c r="AU1467" s="22"/>
      <c r="AV1467" s="21"/>
      <c r="AW1467" s="21"/>
      <c r="AX1467" s="21"/>
      <c r="AY1467" s="21"/>
      <c r="AZ1467" s="21"/>
      <c r="BA1467" s="21"/>
      <c r="BB1467" s="21"/>
      <c r="BC1467" s="21"/>
      <c r="BD1467" s="21"/>
      <c r="BE1467" s="21"/>
      <c r="BF1467" s="21"/>
      <c r="BG1467" s="21"/>
    </row>
    <row r="1468" spans="38:59">
      <c r="AL1468" s="21"/>
      <c r="AM1468" s="24"/>
      <c r="AN1468" s="21"/>
      <c r="AO1468" s="21"/>
      <c r="AP1468" s="64"/>
      <c r="AQ1468" s="64"/>
      <c r="AR1468" s="21"/>
      <c r="AS1468" s="21"/>
      <c r="AT1468" s="21"/>
      <c r="AU1468" s="22"/>
      <c r="AV1468" s="21"/>
      <c r="AW1468" s="21"/>
      <c r="AX1468" s="21"/>
      <c r="AY1468" s="21"/>
      <c r="AZ1468" s="21"/>
      <c r="BA1468" s="21"/>
      <c r="BB1468" s="21"/>
      <c r="BC1468" s="21"/>
      <c r="BD1468" s="21"/>
      <c r="BE1468" s="21"/>
      <c r="BF1468" s="21"/>
      <c r="BG1468" s="21"/>
    </row>
    <row r="1469" spans="38:59">
      <c r="AL1469" s="21"/>
      <c r="AM1469" s="24"/>
      <c r="AN1469" s="21"/>
      <c r="AO1469" s="21"/>
      <c r="AP1469" s="64"/>
      <c r="AQ1469" s="64"/>
      <c r="AR1469" s="21"/>
      <c r="AS1469" s="21"/>
      <c r="AT1469" s="21"/>
      <c r="AU1469" s="22"/>
      <c r="AV1469" s="21"/>
      <c r="AW1469" s="21"/>
      <c r="AX1469" s="21"/>
      <c r="AY1469" s="21"/>
      <c r="AZ1469" s="21"/>
      <c r="BA1469" s="21"/>
      <c r="BB1469" s="21"/>
      <c r="BC1469" s="21"/>
      <c r="BD1469" s="21"/>
      <c r="BE1469" s="21"/>
      <c r="BF1469" s="21"/>
      <c r="BG1469" s="21"/>
    </row>
    <row r="1470" spans="38:59">
      <c r="AL1470" s="21"/>
      <c r="AM1470" s="24"/>
      <c r="AN1470" s="21"/>
      <c r="AO1470" s="21"/>
      <c r="AP1470" s="64"/>
      <c r="AQ1470" s="64"/>
      <c r="AR1470" s="21"/>
      <c r="AS1470" s="21"/>
      <c r="AT1470" s="21"/>
      <c r="AU1470" s="22"/>
      <c r="AV1470" s="21"/>
      <c r="AW1470" s="21"/>
      <c r="AX1470" s="21"/>
      <c r="AY1470" s="21"/>
      <c r="AZ1470" s="21"/>
      <c r="BA1470" s="21"/>
      <c r="BB1470" s="21"/>
      <c r="BC1470" s="21"/>
      <c r="BD1470" s="21"/>
      <c r="BE1470" s="21"/>
      <c r="BF1470" s="21"/>
      <c r="BG1470" s="21"/>
    </row>
    <row r="1471" spans="38:59">
      <c r="AL1471" s="21"/>
      <c r="AM1471" s="24"/>
      <c r="AN1471" s="21"/>
      <c r="AO1471" s="21"/>
      <c r="AP1471" s="64"/>
      <c r="AQ1471" s="64"/>
      <c r="AR1471" s="21"/>
      <c r="AS1471" s="21"/>
      <c r="AT1471" s="21"/>
      <c r="AU1471" s="22"/>
      <c r="AV1471" s="21"/>
      <c r="AW1471" s="21"/>
      <c r="AX1471" s="21"/>
      <c r="AY1471" s="21"/>
      <c r="AZ1471" s="21"/>
      <c r="BA1471" s="21"/>
      <c r="BB1471" s="21"/>
      <c r="BC1471" s="21"/>
      <c r="BD1471" s="21"/>
      <c r="BE1471" s="21"/>
      <c r="BF1471" s="21"/>
      <c r="BG1471" s="21"/>
    </row>
    <row r="1472" spans="38:59">
      <c r="AL1472" s="21"/>
      <c r="AM1472" s="24"/>
      <c r="AN1472" s="21"/>
      <c r="AO1472" s="21"/>
      <c r="AP1472" s="64"/>
      <c r="AQ1472" s="64"/>
      <c r="AR1472" s="21"/>
      <c r="AS1472" s="21"/>
      <c r="AT1472" s="21"/>
      <c r="AU1472" s="22"/>
      <c r="AV1472" s="21"/>
      <c r="AW1472" s="21"/>
      <c r="AX1472" s="21"/>
      <c r="AY1472" s="21"/>
      <c r="AZ1472" s="21"/>
      <c r="BA1472" s="21"/>
      <c r="BB1472" s="21"/>
      <c r="BC1472" s="21"/>
      <c r="BD1472" s="21"/>
      <c r="BE1472" s="21"/>
      <c r="BF1472" s="21"/>
      <c r="BG1472" s="21"/>
    </row>
    <row r="1473" spans="38:59">
      <c r="AL1473" s="21"/>
      <c r="AM1473" s="24"/>
      <c r="AN1473" s="21"/>
      <c r="AO1473" s="21"/>
      <c r="AP1473" s="64"/>
      <c r="AQ1473" s="64"/>
      <c r="AR1473" s="21"/>
      <c r="AS1473" s="21"/>
      <c r="AT1473" s="21"/>
      <c r="AU1473" s="22"/>
      <c r="AV1473" s="21"/>
      <c r="AW1473" s="21"/>
      <c r="AX1473" s="21"/>
      <c r="AY1473" s="21"/>
      <c r="AZ1473" s="21"/>
      <c r="BA1473" s="21"/>
      <c r="BB1473" s="21"/>
      <c r="BC1473" s="21"/>
      <c r="BD1473" s="21"/>
      <c r="BE1473" s="21"/>
      <c r="BF1473" s="21"/>
      <c r="BG1473" s="21"/>
    </row>
    <row r="1474" spans="38:59">
      <c r="AL1474" s="21"/>
      <c r="AM1474" s="24"/>
      <c r="AN1474" s="21"/>
      <c r="AO1474" s="21"/>
      <c r="AP1474" s="64"/>
      <c r="AQ1474" s="64"/>
      <c r="AR1474" s="21"/>
      <c r="AS1474" s="21"/>
      <c r="AT1474" s="21"/>
      <c r="AU1474" s="22"/>
      <c r="AV1474" s="21"/>
      <c r="AW1474" s="21"/>
      <c r="AX1474" s="21"/>
      <c r="AY1474" s="21"/>
      <c r="AZ1474" s="21"/>
      <c r="BA1474" s="21"/>
      <c r="BB1474" s="21"/>
      <c r="BC1474" s="21"/>
      <c r="BD1474" s="21"/>
      <c r="BE1474" s="21"/>
      <c r="BF1474" s="21"/>
      <c r="BG1474" s="21"/>
    </row>
    <row r="1475" spans="38:59">
      <c r="AL1475" s="21"/>
      <c r="AM1475" s="24"/>
      <c r="AN1475" s="21"/>
      <c r="AO1475" s="21"/>
      <c r="AP1475" s="64"/>
      <c r="AQ1475" s="64"/>
      <c r="AR1475" s="21"/>
      <c r="AS1475" s="21"/>
      <c r="AT1475" s="21"/>
      <c r="AU1475" s="22"/>
      <c r="AV1475" s="21"/>
      <c r="AW1475" s="21"/>
      <c r="AX1475" s="21"/>
      <c r="AY1475" s="21"/>
      <c r="AZ1475" s="21"/>
      <c r="BA1475" s="21"/>
      <c r="BB1475" s="21"/>
      <c r="BC1475" s="21"/>
      <c r="BD1475" s="21"/>
      <c r="BE1475" s="21"/>
      <c r="BF1475" s="21"/>
      <c r="BG1475" s="21"/>
    </row>
    <row r="1476" spans="38:59">
      <c r="AL1476" s="21"/>
      <c r="AM1476" s="24"/>
      <c r="AN1476" s="21"/>
      <c r="AO1476" s="21"/>
      <c r="AP1476" s="64"/>
      <c r="AQ1476" s="64"/>
      <c r="AR1476" s="21"/>
      <c r="AS1476" s="21"/>
      <c r="AT1476" s="21"/>
      <c r="AU1476" s="22"/>
      <c r="AV1476" s="21"/>
      <c r="AW1476" s="21"/>
      <c r="AX1476" s="21"/>
      <c r="AY1476" s="21"/>
      <c r="AZ1476" s="21"/>
      <c r="BA1476" s="21"/>
      <c r="BB1476" s="21"/>
      <c r="BC1476" s="21"/>
      <c r="BD1476" s="21"/>
      <c r="BE1476" s="21"/>
      <c r="BF1476" s="21"/>
      <c r="BG1476" s="21"/>
    </row>
    <row r="1477" spans="38:59">
      <c r="AL1477" s="21"/>
      <c r="AM1477" s="24"/>
      <c r="AN1477" s="21"/>
      <c r="AO1477" s="21"/>
      <c r="AP1477" s="64"/>
      <c r="AQ1477" s="64"/>
      <c r="AR1477" s="21"/>
      <c r="AS1477" s="21"/>
      <c r="AT1477" s="21"/>
      <c r="AU1477" s="22"/>
      <c r="AV1477" s="21"/>
      <c r="AW1477" s="21"/>
      <c r="AX1477" s="21"/>
      <c r="AY1477" s="21"/>
      <c r="AZ1477" s="21"/>
      <c r="BA1477" s="21"/>
      <c r="BB1477" s="21"/>
      <c r="BC1477" s="21"/>
      <c r="BD1477" s="21"/>
      <c r="BE1477" s="21"/>
      <c r="BF1477" s="21"/>
      <c r="BG1477" s="21"/>
    </row>
    <row r="1478" spans="38:59">
      <c r="AL1478" s="21"/>
      <c r="AM1478" s="24"/>
      <c r="AN1478" s="21"/>
      <c r="AO1478" s="21"/>
      <c r="AP1478" s="64"/>
      <c r="AQ1478" s="64"/>
      <c r="AR1478" s="21"/>
      <c r="AS1478" s="21"/>
      <c r="AT1478" s="21"/>
      <c r="AU1478" s="22"/>
      <c r="AV1478" s="21"/>
      <c r="AW1478" s="21"/>
      <c r="AX1478" s="21"/>
      <c r="AY1478" s="21"/>
      <c r="AZ1478" s="21"/>
      <c r="BA1478" s="21"/>
      <c r="BB1478" s="21"/>
      <c r="BC1478" s="21"/>
      <c r="BD1478" s="21"/>
      <c r="BE1478" s="21"/>
      <c r="BF1478" s="21"/>
      <c r="BG1478" s="21"/>
    </row>
    <row r="1479" spans="38:59">
      <c r="AL1479" s="21"/>
      <c r="AM1479" s="24"/>
      <c r="AN1479" s="21"/>
      <c r="AO1479" s="21"/>
      <c r="AP1479" s="64"/>
      <c r="AQ1479" s="64"/>
      <c r="AR1479" s="21"/>
      <c r="AS1479" s="21"/>
      <c r="AT1479" s="21"/>
      <c r="AU1479" s="22"/>
      <c r="AV1479" s="21"/>
      <c r="AW1479" s="21"/>
      <c r="AX1479" s="21"/>
      <c r="AY1479" s="21"/>
      <c r="AZ1479" s="21"/>
      <c r="BA1479" s="21"/>
      <c r="BB1479" s="21"/>
      <c r="BC1479" s="21"/>
      <c r="BD1479" s="21"/>
      <c r="BE1479" s="21"/>
      <c r="BF1479" s="21"/>
      <c r="BG1479" s="21"/>
    </row>
    <row r="1480" spans="38:59">
      <c r="AL1480" s="21"/>
      <c r="AM1480" s="24"/>
      <c r="AN1480" s="21"/>
      <c r="AO1480" s="21"/>
      <c r="AP1480" s="64"/>
      <c r="AQ1480" s="64"/>
      <c r="AR1480" s="21"/>
      <c r="AS1480" s="21"/>
      <c r="AT1480" s="21"/>
      <c r="AU1480" s="22"/>
      <c r="AV1480" s="21"/>
      <c r="AW1480" s="21"/>
      <c r="AX1480" s="21"/>
      <c r="AY1480" s="21"/>
      <c r="AZ1480" s="21"/>
      <c r="BA1480" s="21"/>
      <c r="BB1480" s="21"/>
      <c r="BC1480" s="21"/>
      <c r="BD1480" s="21"/>
      <c r="BE1480" s="21"/>
      <c r="BF1480" s="21"/>
      <c r="BG1480" s="21"/>
    </row>
    <row r="1481" spans="38:59">
      <c r="AL1481" s="21"/>
      <c r="AM1481" s="24"/>
      <c r="AN1481" s="21"/>
      <c r="AO1481" s="21"/>
      <c r="AP1481" s="64"/>
      <c r="AQ1481" s="64"/>
      <c r="AR1481" s="21"/>
      <c r="AS1481" s="21"/>
      <c r="AT1481" s="21"/>
      <c r="AU1481" s="22"/>
      <c r="AV1481" s="21"/>
      <c r="AW1481" s="21"/>
      <c r="AX1481" s="21"/>
      <c r="AY1481" s="21"/>
      <c r="AZ1481" s="21"/>
      <c r="BA1481" s="21"/>
      <c r="BB1481" s="21"/>
      <c r="BC1481" s="21"/>
      <c r="BD1481" s="21"/>
      <c r="BE1481" s="21"/>
      <c r="BF1481" s="21"/>
      <c r="BG1481" s="21"/>
    </row>
    <row r="1482" spans="38:59">
      <c r="AL1482" s="21"/>
      <c r="AM1482" s="24"/>
      <c r="AN1482" s="21"/>
      <c r="AO1482" s="21"/>
      <c r="AP1482" s="64"/>
      <c r="AQ1482" s="64"/>
      <c r="AR1482" s="21"/>
      <c r="AS1482" s="21"/>
      <c r="AT1482" s="21"/>
      <c r="AU1482" s="22"/>
      <c r="AV1482" s="21"/>
      <c r="AW1482" s="21"/>
      <c r="AX1482" s="21"/>
      <c r="AY1482" s="21"/>
      <c r="AZ1482" s="21"/>
      <c r="BA1482" s="21"/>
      <c r="BB1482" s="21"/>
      <c r="BC1482" s="21"/>
      <c r="BD1482" s="21"/>
      <c r="BE1482" s="21"/>
      <c r="BF1482" s="21"/>
      <c r="BG1482" s="21"/>
    </row>
    <row r="1483" spans="38:59">
      <c r="AL1483" s="21"/>
      <c r="AM1483" s="24"/>
      <c r="AN1483" s="21"/>
      <c r="AO1483" s="21"/>
      <c r="AP1483" s="64"/>
      <c r="AQ1483" s="64"/>
      <c r="AR1483" s="21"/>
      <c r="AS1483" s="21"/>
      <c r="AT1483" s="21"/>
      <c r="AU1483" s="22"/>
      <c r="AV1483" s="21"/>
      <c r="AW1483" s="21"/>
      <c r="AX1483" s="21"/>
      <c r="AY1483" s="21"/>
      <c r="AZ1483" s="21"/>
      <c r="BA1483" s="21"/>
      <c r="BB1483" s="21"/>
      <c r="BC1483" s="21"/>
      <c r="BD1483" s="21"/>
      <c r="BE1483" s="21"/>
      <c r="BF1483" s="21"/>
      <c r="BG1483" s="21"/>
    </row>
    <row r="1484" spans="38:59">
      <c r="AL1484" s="21"/>
      <c r="AM1484" s="24"/>
      <c r="AN1484" s="21"/>
      <c r="AO1484" s="21"/>
      <c r="AP1484" s="64"/>
      <c r="AQ1484" s="64"/>
      <c r="AR1484" s="21"/>
      <c r="AS1484" s="21"/>
      <c r="AT1484" s="21"/>
      <c r="AU1484" s="22"/>
      <c r="AV1484" s="21"/>
      <c r="AW1484" s="21"/>
      <c r="AX1484" s="21"/>
      <c r="AY1484" s="21"/>
      <c r="AZ1484" s="21"/>
      <c r="BA1484" s="21"/>
      <c r="BB1484" s="21"/>
      <c r="BC1484" s="21"/>
      <c r="BD1484" s="21"/>
      <c r="BE1484" s="21"/>
      <c r="BF1484" s="21"/>
      <c r="BG1484" s="21"/>
    </row>
    <row r="1485" spans="38:59">
      <c r="AL1485" s="21"/>
      <c r="AM1485" s="24"/>
      <c r="AN1485" s="21"/>
      <c r="AO1485" s="21"/>
      <c r="AP1485" s="64"/>
      <c r="AQ1485" s="64"/>
      <c r="AR1485" s="21"/>
      <c r="AS1485" s="21"/>
      <c r="AT1485" s="21"/>
      <c r="AU1485" s="22"/>
      <c r="AV1485" s="21"/>
      <c r="AW1485" s="21"/>
      <c r="AX1485" s="21"/>
      <c r="AY1485" s="21"/>
      <c r="AZ1485" s="21"/>
      <c r="BA1485" s="21"/>
      <c r="BB1485" s="21"/>
      <c r="BC1485" s="21"/>
      <c r="BD1485" s="21"/>
      <c r="BE1485" s="21"/>
      <c r="BF1485" s="21"/>
      <c r="BG1485" s="21"/>
    </row>
    <row r="1486" spans="38:59">
      <c r="AL1486" s="21"/>
      <c r="AM1486" s="24"/>
      <c r="AN1486" s="21"/>
      <c r="AO1486" s="21"/>
      <c r="AP1486" s="64"/>
      <c r="AQ1486" s="64"/>
      <c r="AR1486" s="21"/>
      <c r="AS1486" s="21"/>
      <c r="AT1486" s="21"/>
      <c r="AU1486" s="22"/>
      <c r="AV1486" s="21"/>
      <c r="AW1486" s="21"/>
      <c r="AX1486" s="21"/>
      <c r="AY1486" s="21"/>
      <c r="AZ1486" s="21"/>
      <c r="BA1486" s="21"/>
      <c r="BB1486" s="21"/>
      <c r="BC1486" s="21"/>
      <c r="BD1486" s="21"/>
      <c r="BE1486" s="21"/>
      <c r="BF1486" s="21"/>
      <c r="BG1486" s="21"/>
    </row>
    <row r="1487" spans="38:59">
      <c r="AL1487" s="21"/>
      <c r="AM1487" s="24"/>
      <c r="AN1487" s="21"/>
      <c r="AO1487" s="21"/>
      <c r="AP1487" s="64"/>
      <c r="AQ1487" s="64"/>
      <c r="AR1487" s="21"/>
      <c r="AS1487" s="21"/>
      <c r="AT1487" s="21"/>
      <c r="AU1487" s="22"/>
      <c r="AV1487" s="21"/>
      <c r="AW1487" s="21"/>
      <c r="AX1487" s="21"/>
      <c r="AY1487" s="21"/>
      <c r="AZ1487" s="21"/>
      <c r="BA1487" s="21"/>
      <c r="BB1487" s="21"/>
      <c r="BC1487" s="21"/>
      <c r="BD1487" s="21"/>
      <c r="BE1487" s="21"/>
      <c r="BF1487" s="21"/>
      <c r="BG1487" s="21"/>
    </row>
    <row r="1488" spans="38:59">
      <c r="AL1488" s="21"/>
      <c r="AM1488" s="24"/>
      <c r="AN1488" s="21"/>
      <c r="AO1488" s="21"/>
      <c r="AP1488" s="64"/>
      <c r="AQ1488" s="64"/>
      <c r="AR1488" s="21"/>
      <c r="AS1488" s="21"/>
      <c r="AT1488" s="21"/>
      <c r="AU1488" s="22"/>
      <c r="AV1488" s="21"/>
      <c r="AW1488" s="21"/>
      <c r="AX1488" s="21"/>
      <c r="AY1488" s="21"/>
      <c r="AZ1488" s="21"/>
      <c r="BA1488" s="21"/>
      <c r="BB1488" s="21"/>
      <c r="BC1488" s="21"/>
      <c r="BD1488" s="21"/>
      <c r="BE1488" s="21"/>
      <c r="BF1488" s="21"/>
      <c r="BG1488" s="21"/>
    </row>
    <row r="1489" spans="38:59">
      <c r="AL1489" s="21"/>
      <c r="AM1489" s="24"/>
      <c r="AN1489" s="21"/>
      <c r="AO1489" s="21"/>
      <c r="AP1489" s="64"/>
      <c r="AQ1489" s="64"/>
      <c r="AR1489" s="21"/>
      <c r="AS1489" s="21"/>
      <c r="AT1489" s="21"/>
      <c r="AU1489" s="22"/>
      <c r="AV1489" s="21"/>
      <c r="AW1489" s="21"/>
      <c r="AX1489" s="21"/>
      <c r="AY1489" s="21"/>
      <c r="AZ1489" s="21"/>
      <c r="BA1489" s="21"/>
      <c r="BB1489" s="21"/>
      <c r="BC1489" s="21"/>
      <c r="BD1489" s="21"/>
      <c r="BE1489" s="21"/>
      <c r="BF1489" s="21"/>
      <c r="BG1489" s="21"/>
    </row>
    <row r="1490" spans="38:59">
      <c r="AL1490" s="21"/>
      <c r="AM1490" s="24"/>
      <c r="AN1490" s="21"/>
      <c r="AO1490" s="21"/>
      <c r="AP1490" s="64"/>
      <c r="AQ1490" s="64"/>
      <c r="AR1490" s="21"/>
      <c r="AS1490" s="21"/>
      <c r="AT1490" s="21"/>
      <c r="AU1490" s="22"/>
      <c r="AV1490" s="21"/>
      <c r="AW1490" s="21"/>
      <c r="AX1490" s="21"/>
      <c r="AY1490" s="21"/>
      <c r="AZ1490" s="21"/>
      <c r="BA1490" s="21"/>
      <c r="BB1490" s="21"/>
      <c r="BC1490" s="21"/>
      <c r="BD1490" s="21"/>
      <c r="BE1490" s="21"/>
      <c r="BF1490" s="21"/>
      <c r="BG1490" s="21"/>
    </row>
    <row r="1491" spans="38:59">
      <c r="AL1491" s="21"/>
      <c r="AM1491" s="24"/>
      <c r="AN1491" s="21"/>
      <c r="AO1491" s="21"/>
      <c r="AP1491" s="64"/>
      <c r="AQ1491" s="64"/>
      <c r="AR1491" s="21"/>
      <c r="AS1491" s="21"/>
      <c r="AT1491" s="21"/>
      <c r="AU1491" s="22"/>
      <c r="AV1491" s="21"/>
      <c r="AW1491" s="21"/>
      <c r="AX1491" s="21"/>
      <c r="AY1491" s="21"/>
      <c r="AZ1491" s="21"/>
      <c r="BA1491" s="21"/>
      <c r="BB1491" s="21"/>
      <c r="BC1491" s="21"/>
      <c r="BD1491" s="21"/>
      <c r="BE1491" s="21"/>
      <c r="BF1491" s="21"/>
      <c r="BG1491" s="21"/>
    </row>
    <row r="1492" spans="38:59">
      <c r="AL1492" s="21"/>
      <c r="AM1492" s="24"/>
      <c r="AN1492" s="21"/>
      <c r="AO1492" s="21"/>
      <c r="AP1492" s="64"/>
      <c r="AQ1492" s="64"/>
      <c r="AR1492" s="21"/>
      <c r="AS1492" s="21"/>
      <c r="AT1492" s="21"/>
      <c r="AU1492" s="22"/>
      <c r="AV1492" s="21"/>
      <c r="AW1492" s="21"/>
      <c r="AX1492" s="21"/>
      <c r="AY1492" s="21"/>
      <c r="AZ1492" s="21"/>
      <c r="BA1492" s="21"/>
      <c r="BB1492" s="21"/>
      <c r="BC1492" s="21"/>
      <c r="BD1492" s="21"/>
      <c r="BE1492" s="21"/>
      <c r="BF1492" s="21"/>
      <c r="BG1492" s="21"/>
    </row>
    <row r="1493" spans="38:59">
      <c r="AL1493" s="21"/>
      <c r="AM1493" s="24"/>
      <c r="AN1493" s="21"/>
      <c r="AO1493" s="21"/>
      <c r="AP1493" s="64"/>
      <c r="AQ1493" s="64"/>
      <c r="AR1493" s="21"/>
      <c r="AS1493" s="21"/>
      <c r="AT1493" s="21"/>
      <c r="AU1493" s="22"/>
      <c r="AV1493" s="21"/>
      <c r="AW1493" s="21"/>
      <c r="AX1493" s="21"/>
      <c r="AY1493" s="21"/>
      <c r="AZ1493" s="21"/>
      <c r="BA1493" s="21"/>
      <c r="BB1493" s="21"/>
      <c r="BC1493" s="21"/>
      <c r="BD1493" s="21"/>
      <c r="BE1493" s="21"/>
      <c r="BF1493" s="21"/>
      <c r="BG1493" s="21"/>
    </row>
    <row r="1494" spans="38:59">
      <c r="AL1494" s="21"/>
      <c r="AM1494" s="24"/>
      <c r="AN1494" s="21"/>
      <c r="AO1494" s="21"/>
      <c r="AP1494" s="64"/>
      <c r="AQ1494" s="64"/>
      <c r="AR1494" s="21"/>
      <c r="AS1494" s="21"/>
      <c r="AT1494" s="21"/>
      <c r="AU1494" s="22"/>
      <c r="AV1494" s="21"/>
      <c r="AW1494" s="21"/>
      <c r="AX1494" s="21"/>
      <c r="AY1494" s="21"/>
      <c r="AZ1494" s="21"/>
      <c r="BA1494" s="21"/>
      <c r="BB1494" s="21"/>
      <c r="BC1494" s="21"/>
      <c r="BD1494" s="21"/>
      <c r="BE1494" s="21"/>
      <c r="BF1494" s="21"/>
      <c r="BG1494" s="21"/>
    </row>
    <row r="1495" spans="38:59">
      <c r="AL1495" s="21"/>
      <c r="AM1495" s="24"/>
      <c r="AN1495" s="21"/>
      <c r="AO1495" s="21"/>
      <c r="AP1495" s="64"/>
      <c r="AQ1495" s="64"/>
      <c r="AR1495" s="21"/>
      <c r="AS1495" s="21"/>
      <c r="AT1495" s="21"/>
      <c r="AU1495" s="22"/>
      <c r="AV1495" s="21"/>
      <c r="AW1495" s="21"/>
      <c r="AX1495" s="21"/>
      <c r="AY1495" s="21"/>
      <c r="AZ1495" s="21"/>
      <c r="BA1495" s="21"/>
      <c r="BB1495" s="21"/>
      <c r="BC1495" s="21"/>
      <c r="BD1495" s="21"/>
      <c r="BE1495" s="21"/>
      <c r="BF1495" s="21"/>
      <c r="BG1495" s="21"/>
    </row>
    <row r="1496" spans="38:59">
      <c r="AL1496" s="21"/>
      <c r="AM1496" s="24"/>
      <c r="AN1496" s="21"/>
      <c r="AO1496" s="21"/>
      <c r="AP1496" s="64"/>
      <c r="AQ1496" s="64"/>
      <c r="AR1496" s="21"/>
      <c r="AS1496" s="21"/>
      <c r="AT1496" s="21"/>
      <c r="AU1496" s="22"/>
      <c r="AV1496" s="21"/>
      <c r="AW1496" s="21"/>
      <c r="AX1496" s="21"/>
      <c r="AY1496" s="21"/>
      <c r="AZ1496" s="21"/>
      <c r="BA1496" s="21"/>
      <c r="BB1496" s="21"/>
      <c r="BC1496" s="21"/>
      <c r="BD1496" s="21"/>
      <c r="BE1496" s="21"/>
      <c r="BF1496" s="21"/>
      <c r="BG1496" s="21"/>
    </row>
    <row r="1497" spans="38:59">
      <c r="AL1497" s="21"/>
      <c r="AM1497" s="24"/>
      <c r="AN1497" s="21"/>
      <c r="AO1497" s="21"/>
      <c r="AP1497" s="64"/>
      <c r="AQ1497" s="64"/>
      <c r="AR1497" s="21"/>
      <c r="AS1497" s="21"/>
      <c r="AT1497" s="21"/>
      <c r="AU1497" s="22"/>
      <c r="AV1497" s="21"/>
      <c r="AW1497" s="21"/>
      <c r="AX1497" s="21"/>
      <c r="AY1497" s="21"/>
      <c r="AZ1497" s="21"/>
      <c r="BA1497" s="21"/>
      <c r="BB1497" s="21"/>
      <c r="BC1497" s="21"/>
      <c r="BD1497" s="21"/>
      <c r="BE1497" s="21"/>
      <c r="BF1497" s="21"/>
      <c r="BG1497" s="21"/>
    </row>
    <row r="1498" spans="38:59">
      <c r="AL1498" s="21"/>
      <c r="AM1498" s="24"/>
      <c r="AN1498" s="21"/>
      <c r="AO1498" s="21"/>
      <c r="AP1498" s="64"/>
      <c r="AQ1498" s="64"/>
      <c r="AR1498" s="21"/>
      <c r="AS1498" s="21"/>
      <c r="AT1498" s="21"/>
      <c r="AU1498" s="22"/>
      <c r="AV1498" s="21"/>
      <c r="AW1498" s="21"/>
      <c r="AX1498" s="21"/>
      <c r="AY1498" s="21"/>
      <c r="AZ1498" s="21"/>
      <c r="BA1498" s="21"/>
      <c r="BB1498" s="21"/>
      <c r="BC1498" s="21"/>
      <c r="BD1498" s="21"/>
      <c r="BE1498" s="21"/>
      <c r="BF1498" s="21"/>
      <c r="BG1498" s="21"/>
    </row>
    <row r="1499" spans="38:59">
      <c r="AL1499" s="21"/>
      <c r="AM1499" s="24"/>
      <c r="AN1499" s="21"/>
      <c r="AO1499" s="21"/>
      <c r="AP1499" s="64"/>
      <c r="AQ1499" s="64"/>
      <c r="AR1499" s="21"/>
      <c r="AS1499" s="21"/>
      <c r="AT1499" s="21"/>
      <c r="AU1499" s="22"/>
      <c r="AV1499" s="21"/>
      <c r="AW1499" s="21"/>
      <c r="AX1499" s="21"/>
      <c r="AY1499" s="21"/>
      <c r="AZ1499" s="21"/>
      <c r="BA1499" s="21"/>
      <c r="BB1499" s="21"/>
      <c r="BC1499" s="21"/>
      <c r="BD1499" s="21"/>
      <c r="BE1499" s="21"/>
      <c r="BF1499" s="21"/>
      <c r="BG1499" s="21"/>
    </row>
    <row r="1500" spans="38:59">
      <c r="AL1500" s="21"/>
      <c r="AM1500" s="24"/>
      <c r="AN1500" s="21"/>
      <c r="AO1500" s="21"/>
      <c r="AP1500" s="64"/>
      <c r="AQ1500" s="64"/>
      <c r="AR1500" s="21"/>
      <c r="AS1500" s="21"/>
      <c r="AT1500" s="21"/>
      <c r="AU1500" s="22"/>
      <c r="AV1500" s="21"/>
      <c r="AW1500" s="21"/>
      <c r="AX1500" s="21"/>
      <c r="AY1500" s="21"/>
      <c r="AZ1500" s="21"/>
      <c r="BA1500" s="21"/>
      <c r="BB1500" s="21"/>
      <c r="BC1500" s="21"/>
      <c r="BD1500" s="21"/>
      <c r="BE1500" s="21"/>
      <c r="BF1500" s="21"/>
      <c r="BG1500" s="21"/>
    </row>
    <row r="1501" spans="38:59">
      <c r="AL1501" s="21"/>
      <c r="AM1501" s="24"/>
      <c r="AN1501" s="21"/>
      <c r="AO1501" s="21"/>
      <c r="AP1501" s="64"/>
      <c r="AQ1501" s="64"/>
      <c r="AR1501" s="21"/>
      <c r="AS1501" s="21"/>
      <c r="AT1501" s="21"/>
      <c r="AU1501" s="22"/>
      <c r="AV1501" s="21"/>
      <c r="AW1501" s="21"/>
      <c r="AX1501" s="21"/>
      <c r="AY1501" s="21"/>
      <c r="AZ1501" s="21"/>
      <c r="BA1501" s="21"/>
      <c r="BB1501" s="21"/>
      <c r="BC1501" s="21"/>
      <c r="BD1501" s="21"/>
      <c r="BE1501" s="21"/>
      <c r="BF1501" s="21"/>
      <c r="BG1501" s="21"/>
    </row>
    <row r="1502" spans="38:59">
      <c r="AL1502" s="21"/>
      <c r="AM1502" s="24"/>
      <c r="AN1502" s="21"/>
      <c r="AO1502" s="21"/>
      <c r="AP1502" s="64"/>
      <c r="AQ1502" s="64"/>
      <c r="AR1502" s="21"/>
      <c r="AS1502" s="21"/>
      <c r="AT1502" s="21"/>
      <c r="AU1502" s="22"/>
      <c r="AV1502" s="21"/>
      <c r="AW1502" s="21"/>
      <c r="AX1502" s="21"/>
      <c r="AY1502" s="21"/>
      <c r="AZ1502" s="21"/>
      <c r="BA1502" s="21"/>
      <c r="BB1502" s="21"/>
      <c r="BC1502" s="21"/>
      <c r="BD1502" s="21"/>
      <c r="BE1502" s="21"/>
      <c r="BF1502" s="21"/>
      <c r="BG1502" s="21"/>
    </row>
    <row r="1503" spans="38:59">
      <c r="AL1503" s="21"/>
      <c r="AM1503" s="24"/>
      <c r="AN1503" s="21"/>
      <c r="AO1503" s="21"/>
      <c r="AP1503" s="64"/>
      <c r="AQ1503" s="64"/>
      <c r="AR1503" s="21"/>
      <c r="AS1503" s="21"/>
      <c r="AT1503" s="21"/>
      <c r="AU1503" s="22"/>
      <c r="AV1503" s="21"/>
      <c r="AW1503" s="21"/>
      <c r="AX1503" s="21"/>
      <c r="AY1503" s="21"/>
      <c r="AZ1503" s="21"/>
      <c r="BA1503" s="21"/>
      <c r="BB1503" s="21"/>
      <c r="BC1503" s="21"/>
      <c r="BD1503" s="21"/>
      <c r="BE1503" s="21"/>
      <c r="BF1503" s="21"/>
      <c r="BG1503" s="21"/>
    </row>
    <row r="1504" spans="38:59">
      <c r="AL1504" s="21"/>
      <c r="AM1504" s="24"/>
      <c r="AN1504" s="21"/>
      <c r="AO1504" s="21"/>
      <c r="AP1504" s="64"/>
      <c r="AQ1504" s="64"/>
      <c r="AR1504" s="21"/>
      <c r="AS1504" s="21"/>
      <c r="AT1504" s="21"/>
      <c r="AU1504" s="22"/>
      <c r="AV1504" s="21"/>
      <c r="AW1504" s="21"/>
      <c r="AX1504" s="21"/>
      <c r="AY1504" s="21"/>
      <c r="AZ1504" s="21"/>
      <c r="BA1504" s="21"/>
      <c r="BB1504" s="21"/>
      <c r="BC1504" s="21"/>
      <c r="BD1504" s="21"/>
      <c r="BE1504" s="21"/>
      <c r="BF1504" s="21"/>
      <c r="BG1504" s="21"/>
    </row>
    <row r="1505" spans="38:59">
      <c r="AL1505" s="21"/>
      <c r="AM1505" s="24"/>
      <c r="AN1505" s="21"/>
      <c r="AO1505" s="21"/>
      <c r="AP1505" s="64"/>
      <c r="AQ1505" s="64"/>
      <c r="AR1505" s="21"/>
      <c r="AS1505" s="21"/>
      <c r="AT1505" s="21"/>
      <c r="AU1505" s="22"/>
      <c r="AV1505" s="21"/>
      <c r="AW1505" s="21"/>
      <c r="AX1505" s="21"/>
      <c r="AY1505" s="21"/>
      <c r="AZ1505" s="21"/>
      <c r="BA1505" s="21"/>
      <c r="BB1505" s="21"/>
      <c r="BC1505" s="21"/>
      <c r="BD1505" s="21"/>
      <c r="BE1505" s="21"/>
      <c r="BF1505" s="21"/>
      <c r="BG1505" s="21"/>
    </row>
    <row r="1506" spans="38:59">
      <c r="AL1506" s="21"/>
      <c r="AM1506" s="24"/>
      <c r="AN1506" s="21"/>
      <c r="AO1506" s="21"/>
      <c r="AP1506" s="64"/>
      <c r="AQ1506" s="64"/>
      <c r="AR1506" s="21"/>
      <c r="AS1506" s="21"/>
      <c r="AT1506" s="21"/>
      <c r="AU1506" s="22"/>
      <c r="AV1506" s="21"/>
      <c r="AW1506" s="21"/>
      <c r="AX1506" s="21"/>
      <c r="AY1506" s="21"/>
      <c r="AZ1506" s="21"/>
      <c r="BA1506" s="21"/>
      <c r="BB1506" s="21"/>
      <c r="BC1506" s="21"/>
      <c r="BD1506" s="21"/>
      <c r="BE1506" s="21"/>
      <c r="BF1506" s="21"/>
      <c r="BG1506" s="21"/>
    </row>
    <row r="1507" spans="38:59">
      <c r="AL1507" s="21"/>
      <c r="AM1507" s="24"/>
      <c r="AN1507" s="21"/>
      <c r="AO1507" s="21"/>
      <c r="AP1507" s="64"/>
      <c r="AQ1507" s="64"/>
      <c r="AR1507" s="21"/>
      <c r="AS1507" s="21"/>
      <c r="AT1507" s="21"/>
      <c r="AU1507" s="22"/>
      <c r="AV1507" s="21"/>
      <c r="AW1507" s="21"/>
      <c r="AX1507" s="21"/>
      <c r="AY1507" s="21"/>
      <c r="AZ1507" s="21"/>
      <c r="BA1507" s="21"/>
      <c r="BB1507" s="21"/>
      <c r="BC1507" s="21"/>
      <c r="BD1507" s="21"/>
      <c r="BE1507" s="21"/>
      <c r="BF1507" s="21"/>
      <c r="BG1507" s="21"/>
    </row>
    <row r="1508" spans="38:59">
      <c r="AL1508" s="21"/>
      <c r="AM1508" s="24"/>
      <c r="AN1508" s="21"/>
      <c r="AO1508" s="21"/>
      <c r="AP1508" s="64"/>
      <c r="AQ1508" s="64"/>
      <c r="AR1508" s="21"/>
      <c r="AS1508" s="21"/>
      <c r="AT1508" s="21"/>
      <c r="AU1508" s="22"/>
      <c r="AV1508" s="21"/>
      <c r="AW1508" s="21"/>
      <c r="AX1508" s="21"/>
      <c r="AY1508" s="21"/>
      <c r="AZ1508" s="21"/>
      <c r="BA1508" s="21"/>
      <c r="BB1508" s="21"/>
      <c r="BC1508" s="21"/>
      <c r="BD1508" s="21"/>
      <c r="BE1508" s="21"/>
      <c r="BF1508" s="21"/>
      <c r="BG1508" s="21"/>
    </row>
    <row r="1509" spans="38:59">
      <c r="AL1509" s="21"/>
      <c r="AM1509" s="24"/>
      <c r="AN1509" s="21"/>
      <c r="AO1509" s="21"/>
      <c r="AP1509" s="64"/>
      <c r="AQ1509" s="64"/>
      <c r="AR1509" s="21"/>
      <c r="AS1509" s="21"/>
      <c r="AT1509" s="21"/>
      <c r="AU1509" s="22"/>
      <c r="AV1509" s="21"/>
      <c r="AW1509" s="21"/>
      <c r="AX1509" s="21"/>
      <c r="AY1509" s="21"/>
      <c r="AZ1509" s="21"/>
      <c r="BA1509" s="21"/>
      <c r="BB1509" s="21"/>
      <c r="BC1509" s="21"/>
      <c r="BD1509" s="21"/>
      <c r="BE1509" s="21"/>
      <c r="BF1509" s="21"/>
      <c r="BG1509" s="21"/>
    </row>
    <row r="1510" spans="38:59">
      <c r="AL1510" s="21"/>
      <c r="AM1510" s="24"/>
      <c r="AN1510" s="21"/>
      <c r="AO1510" s="21"/>
      <c r="AP1510" s="64"/>
      <c r="AQ1510" s="64"/>
      <c r="AR1510" s="21"/>
      <c r="AS1510" s="21"/>
      <c r="AT1510" s="21"/>
      <c r="AU1510" s="22"/>
      <c r="AV1510" s="21"/>
      <c r="AW1510" s="21"/>
      <c r="AX1510" s="21"/>
      <c r="AY1510" s="21"/>
      <c r="AZ1510" s="21"/>
      <c r="BA1510" s="21"/>
      <c r="BB1510" s="21"/>
      <c r="BC1510" s="21"/>
      <c r="BD1510" s="21"/>
      <c r="BE1510" s="21"/>
      <c r="BF1510" s="21"/>
      <c r="BG1510" s="21"/>
    </row>
    <row r="1511" spans="38:59">
      <c r="AL1511" s="21"/>
      <c r="AM1511" s="24"/>
      <c r="AN1511" s="21"/>
      <c r="AO1511" s="21"/>
      <c r="AP1511" s="64"/>
      <c r="AQ1511" s="64"/>
      <c r="AR1511" s="21"/>
      <c r="AS1511" s="21"/>
      <c r="AT1511" s="21"/>
      <c r="AU1511" s="22"/>
      <c r="AV1511" s="21"/>
      <c r="AW1511" s="21"/>
      <c r="AX1511" s="21"/>
      <c r="AY1511" s="21"/>
      <c r="AZ1511" s="21"/>
      <c r="BA1511" s="21"/>
      <c r="BB1511" s="21"/>
      <c r="BC1511" s="21"/>
      <c r="BD1511" s="21"/>
      <c r="BE1511" s="21"/>
      <c r="BF1511" s="21"/>
      <c r="BG1511" s="21"/>
    </row>
    <row r="1512" spans="38:59">
      <c r="AL1512" s="21"/>
      <c r="AM1512" s="24"/>
      <c r="AN1512" s="21"/>
      <c r="AO1512" s="21"/>
      <c r="AP1512" s="64"/>
      <c r="AQ1512" s="64"/>
      <c r="AR1512" s="21"/>
      <c r="AS1512" s="21"/>
      <c r="AT1512" s="21"/>
      <c r="AU1512" s="22"/>
      <c r="AV1512" s="21"/>
      <c r="AW1512" s="21"/>
      <c r="AX1512" s="21"/>
      <c r="AY1512" s="21"/>
      <c r="AZ1512" s="21"/>
      <c r="BA1512" s="21"/>
      <c r="BB1512" s="21"/>
      <c r="BC1512" s="21"/>
      <c r="BD1512" s="21"/>
      <c r="BE1512" s="21"/>
      <c r="BF1512" s="21"/>
      <c r="BG1512" s="21"/>
    </row>
    <row r="1513" spans="38:59">
      <c r="AL1513" s="21"/>
      <c r="AM1513" s="24"/>
      <c r="AN1513" s="21"/>
      <c r="AO1513" s="21"/>
      <c r="AP1513" s="64"/>
      <c r="AQ1513" s="64"/>
      <c r="AR1513" s="21"/>
      <c r="AS1513" s="21"/>
      <c r="AT1513" s="21"/>
      <c r="AU1513" s="22"/>
      <c r="AV1513" s="21"/>
      <c r="AW1513" s="21"/>
      <c r="AX1513" s="21"/>
      <c r="AY1513" s="21"/>
      <c r="AZ1513" s="21"/>
      <c r="BA1513" s="21"/>
      <c r="BB1513" s="21"/>
      <c r="BC1513" s="21"/>
      <c r="BD1513" s="21"/>
      <c r="BE1513" s="21"/>
      <c r="BF1513" s="21"/>
      <c r="BG1513" s="21"/>
    </row>
    <row r="1514" spans="38:59">
      <c r="AL1514" s="21"/>
      <c r="AM1514" s="24"/>
      <c r="AN1514" s="21"/>
      <c r="AO1514" s="21"/>
      <c r="AP1514" s="64"/>
      <c r="AQ1514" s="64"/>
      <c r="AR1514" s="21"/>
      <c r="AS1514" s="21"/>
      <c r="AT1514" s="21"/>
      <c r="AU1514" s="22"/>
      <c r="AV1514" s="21"/>
      <c r="AW1514" s="21"/>
      <c r="AX1514" s="21"/>
      <c r="AY1514" s="21"/>
      <c r="AZ1514" s="21"/>
      <c r="BA1514" s="21"/>
      <c r="BB1514" s="21"/>
      <c r="BC1514" s="21"/>
      <c r="BD1514" s="21"/>
      <c r="BE1514" s="21"/>
      <c r="BF1514" s="21"/>
      <c r="BG1514" s="21"/>
    </row>
    <row r="1515" spans="38:59">
      <c r="AL1515" s="21"/>
      <c r="AM1515" s="24"/>
      <c r="AN1515" s="21"/>
      <c r="AO1515" s="21"/>
      <c r="AP1515" s="64"/>
      <c r="AQ1515" s="64"/>
      <c r="AR1515" s="21"/>
      <c r="AS1515" s="21"/>
      <c r="AT1515" s="21"/>
      <c r="AU1515" s="22"/>
      <c r="AV1515" s="21"/>
      <c r="AW1515" s="21"/>
      <c r="AX1515" s="21"/>
      <c r="AY1515" s="21"/>
      <c r="AZ1515" s="21"/>
      <c r="BA1515" s="21"/>
      <c r="BB1515" s="21"/>
      <c r="BC1515" s="21"/>
      <c r="BD1515" s="21"/>
      <c r="BE1515" s="21"/>
      <c r="BF1515" s="21"/>
      <c r="BG1515" s="21"/>
    </row>
    <row r="1516" spans="38:59">
      <c r="AL1516" s="21"/>
      <c r="AM1516" s="24"/>
      <c r="AN1516" s="21"/>
      <c r="AO1516" s="21"/>
      <c r="AP1516" s="64"/>
      <c r="AQ1516" s="64"/>
      <c r="AR1516" s="21"/>
      <c r="AS1516" s="21"/>
      <c r="AT1516" s="21"/>
      <c r="AU1516" s="22"/>
      <c r="AV1516" s="21"/>
      <c r="AW1516" s="21"/>
      <c r="AX1516" s="21"/>
      <c r="AY1516" s="21"/>
      <c r="AZ1516" s="21"/>
      <c r="BA1516" s="21"/>
      <c r="BB1516" s="21"/>
      <c r="BC1516" s="21"/>
      <c r="BD1516" s="21"/>
      <c r="BE1516" s="21"/>
      <c r="BF1516" s="21"/>
      <c r="BG1516" s="21"/>
    </row>
    <row r="1517" spans="38:59">
      <c r="AL1517" s="21"/>
      <c r="AM1517" s="24"/>
      <c r="AN1517" s="21"/>
      <c r="AO1517" s="21"/>
      <c r="AP1517" s="64"/>
      <c r="AQ1517" s="64"/>
      <c r="AR1517" s="21"/>
      <c r="AS1517" s="21"/>
      <c r="AT1517" s="21"/>
      <c r="AU1517" s="22"/>
      <c r="AV1517" s="21"/>
      <c r="AW1517" s="21"/>
      <c r="AX1517" s="21"/>
      <c r="AY1517" s="21"/>
      <c r="AZ1517" s="21"/>
      <c r="BA1517" s="21"/>
      <c r="BB1517" s="21"/>
      <c r="BC1517" s="21"/>
      <c r="BD1517" s="21"/>
      <c r="BE1517" s="21"/>
      <c r="BF1517" s="21"/>
      <c r="BG1517" s="21"/>
    </row>
    <row r="1518" spans="38:59">
      <c r="AL1518" s="21"/>
      <c r="AM1518" s="24"/>
      <c r="AN1518" s="21"/>
      <c r="AO1518" s="21"/>
      <c r="AP1518" s="64"/>
      <c r="AQ1518" s="64"/>
      <c r="AR1518" s="21"/>
      <c r="AS1518" s="21"/>
      <c r="AT1518" s="21"/>
      <c r="AU1518" s="22"/>
      <c r="AV1518" s="21"/>
      <c r="AW1518" s="21"/>
      <c r="AX1518" s="21"/>
      <c r="AY1518" s="21"/>
      <c r="AZ1518" s="21"/>
      <c r="BA1518" s="21"/>
      <c r="BB1518" s="21"/>
      <c r="BC1518" s="21"/>
      <c r="BD1518" s="21"/>
      <c r="BE1518" s="21"/>
      <c r="BF1518" s="21"/>
      <c r="BG1518" s="21"/>
    </row>
    <row r="1519" spans="38:59">
      <c r="AL1519" s="21"/>
      <c r="AM1519" s="24"/>
      <c r="AN1519" s="21"/>
      <c r="AO1519" s="21"/>
      <c r="AP1519" s="64"/>
      <c r="AQ1519" s="64"/>
      <c r="AR1519" s="21"/>
      <c r="AS1519" s="21"/>
      <c r="AT1519" s="21"/>
      <c r="AU1519" s="22"/>
      <c r="AV1519" s="21"/>
      <c r="AW1519" s="21"/>
      <c r="AX1519" s="21"/>
      <c r="AY1519" s="21"/>
      <c r="AZ1519" s="21"/>
      <c r="BA1519" s="21"/>
      <c r="BB1519" s="21"/>
      <c r="BC1519" s="21"/>
      <c r="BD1519" s="21"/>
      <c r="BE1519" s="21"/>
      <c r="BF1519" s="21"/>
      <c r="BG1519" s="21"/>
    </row>
    <row r="1520" spans="38:59">
      <c r="AL1520" s="21"/>
      <c r="AM1520" s="24"/>
      <c r="AN1520" s="21"/>
      <c r="AO1520" s="21"/>
      <c r="AP1520" s="64"/>
      <c r="AQ1520" s="64"/>
      <c r="AR1520" s="21"/>
      <c r="AS1520" s="21"/>
      <c r="AT1520" s="21"/>
      <c r="AU1520" s="22"/>
      <c r="AV1520" s="21"/>
      <c r="AW1520" s="21"/>
      <c r="AX1520" s="21"/>
      <c r="AY1520" s="21"/>
      <c r="AZ1520" s="21"/>
      <c r="BA1520" s="21"/>
      <c r="BB1520" s="21"/>
      <c r="BC1520" s="21"/>
      <c r="BD1520" s="21"/>
      <c r="BE1520" s="21"/>
      <c r="BF1520" s="21"/>
      <c r="BG1520" s="21"/>
    </row>
    <row r="1521" spans="38:59">
      <c r="AL1521" s="21"/>
      <c r="AM1521" s="24"/>
      <c r="AN1521" s="21"/>
      <c r="AO1521" s="21"/>
      <c r="AP1521" s="64"/>
      <c r="AQ1521" s="64"/>
      <c r="AR1521" s="21"/>
      <c r="AS1521" s="21"/>
      <c r="AT1521" s="21"/>
      <c r="AU1521" s="22"/>
      <c r="AV1521" s="21"/>
      <c r="AW1521" s="21"/>
      <c r="AX1521" s="21"/>
      <c r="AY1521" s="21"/>
      <c r="AZ1521" s="21"/>
      <c r="BA1521" s="21"/>
      <c r="BB1521" s="21"/>
      <c r="BC1521" s="21"/>
      <c r="BD1521" s="21"/>
      <c r="BE1521" s="21"/>
      <c r="BF1521" s="21"/>
      <c r="BG1521" s="21"/>
    </row>
    <row r="1522" spans="38:59">
      <c r="AL1522" s="21"/>
      <c r="AM1522" s="24"/>
      <c r="AN1522" s="21"/>
      <c r="AO1522" s="21"/>
      <c r="AP1522" s="64"/>
      <c r="AQ1522" s="64"/>
      <c r="AR1522" s="21"/>
      <c r="AS1522" s="21"/>
      <c r="AT1522" s="21"/>
      <c r="AU1522" s="22"/>
      <c r="AV1522" s="21"/>
      <c r="AW1522" s="21"/>
      <c r="AX1522" s="21"/>
      <c r="AY1522" s="21"/>
      <c r="AZ1522" s="21"/>
      <c r="BA1522" s="21"/>
      <c r="BB1522" s="21"/>
      <c r="BC1522" s="21"/>
      <c r="BD1522" s="21"/>
      <c r="BE1522" s="21"/>
      <c r="BF1522" s="21"/>
      <c r="BG1522" s="21"/>
    </row>
    <row r="1523" spans="38:59">
      <c r="AL1523" s="21"/>
      <c r="AM1523" s="24"/>
      <c r="AN1523" s="21"/>
      <c r="AO1523" s="21"/>
      <c r="AP1523" s="64"/>
      <c r="AQ1523" s="64"/>
      <c r="AR1523" s="21"/>
      <c r="AS1523" s="21"/>
      <c r="AT1523" s="21"/>
      <c r="AU1523" s="22"/>
      <c r="AV1523" s="21"/>
      <c r="AW1523" s="21"/>
      <c r="AX1523" s="21"/>
      <c r="AY1523" s="21"/>
      <c r="AZ1523" s="21"/>
      <c r="BA1523" s="21"/>
      <c r="BB1523" s="21"/>
      <c r="BC1523" s="21"/>
      <c r="BD1523" s="21"/>
      <c r="BE1523" s="21"/>
      <c r="BF1523" s="21"/>
      <c r="BG1523" s="21"/>
    </row>
    <row r="1524" spans="38:59">
      <c r="AL1524" s="21"/>
      <c r="AM1524" s="24"/>
      <c r="AN1524" s="21"/>
      <c r="AO1524" s="21"/>
      <c r="AP1524" s="64"/>
      <c r="AQ1524" s="64"/>
      <c r="AR1524" s="21"/>
      <c r="AS1524" s="21"/>
      <c r="AT1524" s="21"/>
      <c r="AU1524" s="22"/>
      <c r="AV1524" s="21"/>
      <c r="AW1524" s="21"/>
      <c r="AX1524" s="21"/>
      <c r="AY1524" s="21"/>
      <c r="AZ1524" s="21"/>
      <c r="BA1524" s="21"/>
      <c r="BB1524" s="21"/>
      <c r="BC1524" s="21"/>
      <c r="BD1524" s="21"/>
      <c r="BE1524" s="21"/>
      <c r="BF1524" s="21"/>
      <c r="BG1524" s="21"/>
    </row>
    <row r="1525" spans="38:59">
      <c r="AL1525" s="21"/>
      <c r="AM1525" s="24"/>
      <c r="AN1525" s="21"/>
      <c r="AO1525" s="21"/>
      <c r="AP1525" s="64"/>
      <c r="AQ1525" s="64"/>
      <c r="AR1525" s="21"/>
      <c r="AS1525" s="21"/>
      <c r="AT1525" s="21"/>
      <c r="AU1525" s="22"/>
      <c r="AV1525" s="21"/>
      <c r="AW1525" s="21"/>
      <c r="AX1525" s="21"/>
      <c r="AY1525" s="21"/>
      <c r="AZ1525" s="21"/>
      <c r="BA1525" s="21"/>
      <c r="BB1525" s="21"/>
      <c r="BC1525" s="21"/>
      <c r="BD1525" s="21"/>
      <c r="BE1525" s="21"/>
      <c r="BF1525" s="21"/>
      <c r="BG1525" s="21"/>
    </row>
    <row r="1526" spans="38:59">
      <c r="AL1526" s="21"/>
      <c r="AM1526" s="24"/>
      <c r="AN1526" s="21"/>
      <c r="AO1526" s="21"/>
      <c r="AP1526" s="64"/>
      <c r="AQ1526" s="64"/>
      <c r="AR1526" s="21"/>
      <c r="AS1526" s="21"/>
      <c r="AT1526" s="21"/>
      <c r="AU1526" s="22"/>
      <c r="AV1526" s="21"/>
      <c r="AW1526" s="21"/>
      <c r="AX1526" s="21"/>
      <c r="AY1526" s="21"/>
      <c r="AZ1526" s="21"/>
      <c r="BA1526" s="21"/>
      <c r="BB1526" s="21"/>
      <c r="BC1526" s="21"/>
      <c r="BD1526" s="21"/>
      <c r="BE1526" s="21"/>
      <c r="BF1526" s="21"/>
      <c r="BG1526" s="21"/>
    </row>
    <row r="1527" spans="38:59">
      <c r="AL1527" s="21"/>
      <c r="AM1527" s="24"/>
      <c r="AN1527" s="21"/>
      <c r="AO1527" s="21"/>
      <c r="AP1527" s="64"/>
      <c r="AQ1527" s="64"/>
      <c r="AR1527" s="21"/>
      <c r="AS1527" s="21"/>
      <c r="AT1527" s="21"/>
      <c r="AU1527" s="22"/>
      <c r="AV1527" s="21"/>
      <c r="AW1527" s="21"/>
      <c r="AX1527" s="21"/>
      <c r="AY1527" s="21"/>
      <c r="AZ1527" s="21"/>
      <c r="BA1527" s="21"/>
      <c r="BB1527" s="21"/>
      <c r="BC1527" s="21"/>
      <c r="BD1527" s="21"/>
      <c r="BE1527" s="21"/>
      <c r="BF1527" s="21"/>
      <c r="BG1527" s="21"/>
    </row>
    <row r="1528" spans="38:59">
      <c r="AL1528" s="21"/>
      <c r="AM1528" s="24"/>
      <c r="AN1528" s="21"/>
      <c r="AO1528" s="21"/>
      <c r="AP1528" s="64"/>
      <c r="AQ1528" s="64"/>
      <c r="AR1528" s="21"/>
      <c r="AS1528" s="21"/>
      <c r="AT1528" s="21"/>
      <c r="AU1528" s="22"/>
      <c r="AV1528" s="21"/>
      <c r="AW1528" s="21"/>
      <c r="AX1528" s="21"/>
      <c r="AY1528" s="21"/>
      <c r="AZ1528" s="21"/>
      <c r="BA1528" s="21"/>
      <c r="BB1528" s="21"/>
      <c r="BC1528" s="21"/>
      <c r="BD1528" s="21"/>
      <c r="BE1528" s="21"/>
      <c r="BF1528" s="21"/>
      <c r="BG1528" s="21"/>
    </row>
    <row r="1529" spans="38:59">
      <c r="AL1529" s="21"/>
      <c r="AM1529" s="24"/>
      <c r="AN1529" s="21"/>
      <c r="AO1529" s="21"/>
      <c r="AP1529" s="64"/>
      <c r="AQ1529" s="64"/>
      <c r="AR1529" s="21"/>
      <c r="AS1529" s="21"/>
      <c r="AT1529" s="21"/>
      <c r="AU1529" s="22"/>
      <c r="AV1529" s="21"/>
      <c r="AW1529" s="21"/>
      <c r="AX1529" s="21"/>
      <c r="AY1529" s="21"/>
      <c r="AZ1529" s="21"/>
      <c r="BA1529" s="21"/>
      <c r="BB1529" s="21"/>
      <c r="BC1529" s="21"/>
      <c r="BD1529" s="21"/>
      <c r="BE1529" s="21"/>
      <c r="BF1529" s="21"/>
      <c r="BG1529" s="21"/>
    </row>
    <row r="1530" spans="38:59">
      <c r="AL1530" s="21"/>
      <c r="AM1530" s="24"/>
      <c r="AN1530" s="21"/>
      <c r="AO1530" s="21"/>
      <c r="AP1530" s="64"/>
      <c r="AQ1530" s="64"/>
      <c r="AR1530" s="21"/>
      <c r="AS1530" s="21"/>
      <c r="AT1530" s="21"/>
      <c r="AU1530" s="22"/>
      <c r="AV1530" s="21"/>
      <c r="AW1530" s="21"/>
      <c r="AX1530" s="21"/>
      <c r="AY1530" s="21"/>
      <c r="AZ1530" s="21"/>
      <c r="BA1530" s="21"/>
      <c r="BB1530" s="21"/>
      <c r="BC1530" s="21"/>
      <c r="BD1530" s="21"/>
      <c r="BE1530" s="21"/>
      <c r="BF1530" s="21"/>
      <c r="BG1530" s="21"/>
    </row>
    <row r="1531" spans="38:59">
      <c r="AL1531" s="21"/>
      <c r="AM1531" s="24"/>
      <c r="AN1531" s="21"/>
      <c r="AO1531" s="21"/>
      <c r="AP1531" s="64"/>
      <c r="AQ1531" s="64"/>
      <c r="AR1531" s="21"/>
      <c r="AS1531" s="21"/>
      <c r="AT1531" s="21"/>
      <c r="AU1531" s="22"/>
      <c r="AV1531" s="21"/>
      <c r="AW1531" s="21"/>
      <c r="AX1531" s="21"/>
      <c r="AY1531" s="21"/>
      <c r="AZ1531" s="21"/>
      <c r="BA1531" s="21"/>
      <c r="BB1531" s="21"/>
      <c r="BC1531" s="21"/>
      <c r="BD1531" s="21"/>
      <c r="BE1531" s="21"/>
      <c r="BF1531" s="21"/>
      <c r="BG1531" s="21"/>
    </row>
    <row r="1532" spans="38:59">
      <c r="AL1532" s="21"/>
      <c r="AM1532" s="24"/>
      <c r="AN1532" s="21"/>
      <c r="AO1532" s="21"/>
      <c r="AP1532" s="64"/>
      <c r="AQ1532" s="64"/>
      <c r="AR1532" s="21"/>
      <c r="AS1532" s="21"/>
      <c r="AT1532" s="21"/>
      <c r="AU1532" s="22"/>
      <c r="AV1532" s="21"/>
      <c r="AW1532" s="21"/>
      <c r="AX1532" s="21"/>
      <c r="AY1532" s="21"/>
      <c r="AZ1532" s="21"/>
      <c r="BA1532" s="21"/>
      <c r="BB1532" s="21"/>
      <c r="BC1532" s="21"/>
      <c r="BD1532" s="21"/>
      <c r="BE1532" s="21"/>
      <c r="BF1532" s="21"/>
      <c r="BG1532" s="21"/>
    </row>
    <row r="1533" spans="38:59">
      <c r="AL1533" s="21"/>
      <c r="AM1533" s="24"/>
      <c r="AN1533" s="21"/>
      <c r="AO1533" s="21"/>
      <c r="AP1533" s="64"/>
      <c r="AQ1533" s="64"/>
      <c r="AR1533" s="21"/>
      <c r="AS1533" s="21"/>
      <c r="AT1533" s="21"/>
      <c r="AU1533" s="22"/>
      <c r="AV1533" s="21"/>
      <c r="AW1533" s="21"/>
      <c r="AX1533" s="21"/>
      <c r="AY1533" s="21"/>
      <c r="AZ1533" s="21"/>
      <c r="BA1533" s="21"/>
      <c r="BB1533" s="21"/>
      <c r="BC1533" s="21"/>
      <c r="BD1533" s="21"/>
      <c r="BE1533" s="21"/>
      <c r="BF1533" s="21"/>
      <c r="BG1533" s="21"/>
    </row>
    <row r="1534" spans="38:59">
      <c r="AL1534" s="21"/>
      <c r="AM1534" s="24"/>
      <c r="AN1534" s="21"/>
      <c r="AO1534" s="21"/>
      <c r="AP1534" s="64"/>
      <c r="AQ1534" s="64"/>
      <c r="AR1534" s="21"/>
      <c r="AS1534" s="21"/>
      <c r="AT1534" s="21"/>
      <c r="AU1534" s="22"/>
      <c r="AV1534" s="21"/>
      <c r="AW1534" s="21"/>
      <c r="AX1534" s="21"/>
      <c r="AY1534" s="21"/>
      <c r="AZ1534" s="21"/>
      <c r="BA1534" s="21"/>
      <c r="BB1534" s="21"/>
      <c r="BC1534" s="21"/>
      <c r="BD1534" s="21"/>
      <c r="BE1534" s="21"/>
      <c r="BF1534" s="21"/>
      <c r="BG1534" s="21"/>
    </row>
    <row r="1535" spans="38:59">
      <c r="AL1535" s="21"/>
      <c r="AM1535" s="24"/>
      <c r="AN1535" s="21"/>
      <c r="AO1535" s="21"/>
      <c r="AP1535" s="64"/>
      <c r="AQ1535" s="64"/>
      <c r="AR1535" s="21"/>
      <c r="AS1535" s="21"/>
      <c r="AT1535" s="21"/>
      <c r="AU1535" s="22"/>
      <c r="AV1535" s="21"/>
      <c r="AW1535" s="21"/>
      <c r="AX1535" s="21"/>
      <c r="AY1535" s="21"/>
      <c r="AZ1535" s="21"/>
      <c r="BA1535" s="21"/>
      <c r="BB1535" s="21"/>
      <c r="BC1535" s="21"/>
      <c r="BD1535" s="21"/>
      <c r="BE1535" s="21"/>
      <c r="BF1535" s="21"/>
      <c r="BG1535" s="21"/>
    </row>
    <row r="1536" spans="38:59">
      <c r="AL1536" s="21"/>
      <c r="AM1536" s="24"/>
      <c r="AN1536" s="21"/>
      <c r="AO1536" s="21"/>
      <c r="AP1536" s="64"/>
      <c r="AQ1536" s="64"/>
      <c r="AR1536" s="21"/>
      <c r="AS1536" s="21"/>
      <c r="AT1536" s="21"/>
      <c r="AU1536" s="22"/>
      <c r="AV1536" s="21"/>
      <c r="AW1536" s="21"/>
      <c r="AX1536" s="21"/>
      <c r="AY1536" s="21"/>
      <c r="AZ1536" s="21"/>
      <c r="BA1536" s="21"/>
      <c r="BB1536" s="21"/>
      <c r="BC1536" s="21"/>
      <c r="BD1536" s="21"/>
      <c r="BE1536" s="21"/>
      <c r="BF1536" s="21"/>
      <c r="BG1536" s="21"/>
    </row>
    <row r="1537" spans="38:59">
      <c r="AL1537" s="21"/>
      <c r="AM1537" s="24"/>
      <c r="AN1537" s="21"/>
      <c r="AO1537" s="21"/>
      <c r="AP1537" s="64"/>
      <c r="AQ1537" s="64"/>
      <c r="AR1537" s="21"/>
      <c r="AS1537" s="21"/>
      <c r="AT1537" s="21"/>
      <c r="AU1537" s="22"/>
      <c r="AV1537" s="21"/>
      <c r="AW1537" s="21"/>
      <c r="AX1537" s="21"/>
      <c r="AY1537" s="21"/>
      <c r="AZ1537" s="21"/>
      <c r="BA1537" s="21"/>
      <c r="BB1537" s="21"/>
      <c r="BC1537" s="21"/>
      <c r="BD1537" s="21"/>
      <c r="BE1537" s="21"/>
      <c r="BF1537" s="21"/>
      <c r="BG1537" s="21"/>
    </row>
    <row r="1538" spans="38:59">
      <c r="AL1538" s="21"/>
      <c r="AM1538" s="24"/>
      <c r="AN1538" s="21"/>
      <c r="AO1538" s="21"/>
      <c r="AP1538" s="64"/>
      <c r="AQ1538" s="64"/>
      <c r="AR1538" s="21"/>
      <c r="AS1538" s="21"/>
      <c r="AT1538" s="21"/>
      <c r="AU1538" s="22"/>
      <c r="AV1538" s="21"/>
      <c r="AW1538" s="21"/>
      <c r="AX1538" s="21"/>
      <c r="AY1538" s="21"/>
      <c r="AZ1538" s="21"/>
      <c r="BA1538" s="21"/>
      <c r="BB1538" s="21"/>
      <c r="BC1538" s="21"/>
      <c r="BD1538" s="21"/>
      <c r="BE1538" s="21"/>
      <c r="BF1538" s="21"/>
      <c r="BG1538" s="21"/>
    </row>
    <row r="1539" spans="38:59">
      <c r="AL1539" s="21"/>
      <c r="AM1539" s="24"/>
      <c r="AN1539" s="21"/>
      <c r="AO1539" s="21"/>
      <c r="AP1539" s="64"/>
      <c r="AQ1539" s="64"/>
      <c r="AR1539" s="21"/>
      <c r="AS1539" s="21"/>
      <c r="AT1539" s="21"/>
      <c r="AU1539" s="22"/>
      <c r="AV1539" s="21"/>
      <c r="AW1539" s="21"/>
      <c r="AX1539" s="21"/>
      <c r="AY1539" s="21"/>
      <c r="AZ1539" s="21"/>
      <c r="BA1539" s="21"/>
      <c r="BB1539" s="21"/>
      <c r="BC1539" s="21"/>
      <c r="BD1539" s="21"/>
      <c r="BE1539" s="21"/>
      <c r="BF1539" s="21"/>
      <c r="BG1539" s="21"/>
    </row>
    <row r="1540" spans="38:59">
      <c r="AL1540" s="21"/>
      <c r="AM1540" s="24"/>
      <c r="AN1540" s="21"/>
      <c r="AO1540" s="21"/>
      <c r="AP1540" s="64"/>
      <c r="AQ1540" s="64"/>
      <c r="AR1540" s="21"/>
      <c r="AS1540" s="21"/>
      <c r="AT1540" s="21"/>
      <c r="AU1540" s="22"/>
      <c r="AV1540" s="21"/>
      <c r="AW1540" s="21"/>
      <c r="AX1540" s="21"/>
      <c r="AY1540" s="21"/>
      <c r="AZ1540" s="21"/>
      <c r="BA1540" s="21"/>
      <c r="BB1540" s="21"/>
      <c r="BC1540" s="21"/>
      <c r="BD1540" s="21"/>
      <c r="BE1540" s="21"/>
      <c r="BF1540" s="21"/>
      <c r="BG1540" s="21"/>
    </row>
    <row r="1541" spans="38:59">
      <c r="AL1541" s="21"/>
      <c r="AM1541" s="24"/>
      <c r="AN1541" s="21"/>
      <c r="AO1541" s="21"/>
      <c r="AP1541" s="64"/>
      <c r="AQ1541" s="64"/>
      <c r="AR1541" s="21"/>
      <c r="AS1541" s="21"/>
      <c r="AT1541" s="21"/>
      <c r="AU1541" s="22"/>
      <c r="AV1541" s="21"/>
      <c r="AW1541" s="21"/>
      <c r="AX1541" s="21"/>
      <c r="AY1541" s="21"/>
      <c r="AZ1541" s="21"/>
      <c r="BA1541" s="21"/>
      <c r="BB1541" s="21"/>
      <c r="BC1541" s="21"/>
      <c r="BD1541" s="21"/>
      <c r="BE1541" s="21"/>
      <c r="BF1541" s="21"/>
      <c r="BG1541" s="21"/>
    </row>
    <row r="1542" spans="38:59">
      <c r="AL1542" s="21"/>
      <c r="AM1542" s="24"/>
      <c r="AN1542" s="21"/>
      <c r="AO1542" s="21"/>
      <c r="AP1542" s="64"/>
      <c r="AQ1542" s="64"/>
      <c r="AR1542" s="21"/>
      <c r="AS1542" s="21"/>
      <c r="AT1542" s="21"/>
      <c r="AU1542" s="22"/>
      <c r="AV1542" s="21"/>
      <c r="AW1542" s="21"/>
      <c r="AX1542" s="21"/>
      <c r="AY1542" s="21"/>
      <c r="AZ1542" s="21"/>
      <c r="BA1542" s="21"/>
      <c r="BB1542" s="21"/>
      <c r="BC1542" s="21"/>
      <c r="BD1542" s="21"/>
      <c r="BE1542" s="21"/>
      <c r="BF1542" s="21"/>
      <c r="BG1542" s="21"/>
    </row>
    <row r="1543" spans="38:59">
      <c r="AL1543" s="21"/>
      <c r="AM1543" s="24"/>
      <c r="AN1543" s="21"/>
      <c r="AO1543" s="21"/>
      <c r="AP1543" s="64"/>
      <c r="AQ1543" s="64"/>
      <c r="AR1543" s="21"/>
      <c r="AS1543" s="21"/>
      <c r="AT1543" s="21"/>
      <c r="AU1543" s="22"/>
      <c r="AV1543" s="21"/>
      <c r="AW1543" s="21"/>
      <c r="AX1543" s="21"/>
      <c r="AY1543" s="21"/>
      <c r="AZ1543" s="21"/>
      <c r="BA1543" s="21"/>
      <c r="BB1543" s="21"/>
      <c r="BC1543" s="21"/>
      <c r="BD1543" s="21"/>
      <c r="BE1543" s="21"/>
      <c r="BF1543" s="21"/>
      <c r="BG1543" s="21"/>
    </row>
    <row r="1544" spans="38:59">
      <c r="AL1544" s="21"/>
      <c r="AM1544" s="24"/>
      <c r="AN1544" s="21"/>
      <c r="AO1544" s="21"/>
      <c r="AP1544" s="64"/>
      <c r="AQ1544" s="64"/>
      <c r="AR1544" s="21"/>
      <c r="AS1544" s="21"/>
      <c r="AT1544" s="21"/>
      <c r="AU1544" s="22"/>
      <c r="AV1544" s="21"/>
      <c r="AW1544" s="21"/>
      <c r="AX1544" s="21"/>
      <c r="AY1544" s="21"/>
      <c r="AZ1544" s="21"/>
      <c r="BA1544" s="21"/>
      <c r="BB1544" s="21"/>
      <c r="BC1544" s="21"/>
      <c r="BD1544" s="21"/>
      <c r="BE1544" s="21"/>
      <c r="BF1544" s="21"/>
      <c r="BG1544" s="21"/>
    </row>
    <row r="1545" spans="38:59">
      <c r="AL1545" s="21"/>
      <c r="AM1545" s="24"/>
      <c r="AN1545" s="21"/>
      <c r="AO1545" s="21"/>
      <c r="AP1545" s="64"/>
      <c r="AQ1545" s="64"/>
      <c r="AR1545" s="21"/>
      <c r="AS1545" s="21"/>
      <c r="AT1545" s="21"/>
      <c r="AU1545" s="22"/>
      <c r="AV1545" s="21"/>
      <c r="AW1545" s="21"/>
      <c r="AX1545" s="21"/>
      <c r="AY1545" s="21"/>
      <c r="AZ1545" s="21"/>
      <c r="BA1545" s="21"/>
      <c r="BB1545" s="21"/>
      <c r="BC1545" s="21"/>
      <c r="BD1545" s="21"/>
      <c r="BE1545" s="21"/>
      <c r="BF1545" s="21"/>
      <c r="BG1545" s="21"/>
    </row>
    <row r="1546" spans="38:59">
      <c r="AL1546" s="21"/>
      <c r="AM1546" s="24"/>
      <c r="AN1546" s="21"/>
      <c r="AO1546" s="21"/>
      <c r="AP1546" s="64"/>
      <c r="AQ1546" s="64"/>
      <c r="AR1546" s="21"/>
      <c r="AS1546" s="21"/>
      <c r="AT1546" s="21"/>
      <c r="AU1546" s="22"/>
      <c r="AV1546" s="21"/>
      <c r="AW1546" s="21"/>
      <c r="AX1546" s="21"/>
      <c r="AY1546" s="21"/>
      <c r="AZ1546" s="21"/>
      <c r="BA1546" s="21"/>
      <c r="BB1546" s="21"/>
      <c r="BC1546" s="21"/>
      <c r="BD1546" s="21"/>
      <c r="BE1546" s="21"/>
      <c r="BF1546" s="21"/>
      <c r="BG1546" s="21"/>
    </row>
    <row r="1547" spans="38:59">
      <c r="AL1547" s="21"/>
      <c r="AM1547" s="24"/>
      <c r="AN1547" s="21"/>
      <c r="AO1547" s="21"/>
      <c r="AP1547" s="64"/>
      <c r="AQ1547" s="64"/>
      <c r="AR1547" s="21"/>
      <c r="AS1547" s="21"/>
      <c r="AT1547" s="21"/>
      <c r="AU1547" s="22"/>
      <c r="AV1547" s="21"/>
      <c r="AW1547" s="21"/>
      <c r="AX1547" s="21"/>
      <c r="AY1547" s="21"/>
      <c r="AZ1547" s="21"/>
      <c r="BA1547" s="21"/>
      <c r="BB1547" s="21"/>
      <c r="BC1547" s="21"/>
      <c r="BD1547" s="21"/>
      <c r="BE1547" s="21"/>
      <c r="BF1547" s="21"/>
      <c r="BG1547" s="21"/>
    </row>
    <row r="1548" spans="38:59">
      <c r="AL1548" s="21"/>
      <c r="AM1548" s="24"/>
      <c r="AN1548" s="21"/>
      <c r="AO1548" s="21"/>
      <c r="AP1548" s="64"/>
      <c r="AQ1548" s="64"/>
      <c r="AR1548" s="21"/>
      <c r="AS1548" s="21"/>
      <c r="AT1548" s="21"/>
      <c r="AU1548" s="22"/>
      <c r="AV1548" s="21"/>
      <c r="AW1548" s="21"/>
      <c r="AX1548" s="21"/>
      <c r="AY1548" s="21"/>
      <c r="AZ1548" s="21"/>
      <c r="BA1548" s="21"/>
      <c r="BB1548" s="21"/>
      <c r="BC1548" s="21"/>
      <c r="BD1548" s="21"/>
      <c r="BE1548" s="21"/>
      <c r="BF1548" s="21"/>
      <c r="BG1548" s="21"/>
    </row>
    <row r="1549" spans="38:59">
      <c r="AL1549" s="21"/>
      <c r="AM1549" s="24"/>
      <c r="AN1549" s="21"/>
      <c r="AO1549" s="21"/>
      <c r="AP1549" s="64"/>
      <c r="AQ1549" s="64"/>
      <c r="AR1549" s="21"/>
      <c r="AS1549" s="21"/>
      <c r="AT1549" s="21"/>
      <c r="AU1549" s="22"/>
      <c r="AV1549" s="21"/>
      <c r="AW1549" s="21"/>
      <c r="AX1549" s="21"/>
      <c r="AY1549" s="21"/>
      <c r="AZ1549" s="21"/>
      <c r="BA1549" s="21"/>
      <c r="BB1549" s="21"/>
      <c r="BC1549" s="21"/>
      <c r="BD1549" s="21"/>
      <c r="BE1549" s="21"/>
      <c r="BF1549" s="21"/>
      <c r="BG1549" s="21"/>
    </row>
    <row r="1550" spans="38:59">
      <c r="AL1550" s="21"/>
      <c r="AM1550" s="24"/>
      <c r="AN1550" s="21"/>
      <c r="AO1550" s="21"/>
      <c r="AP1550" s="64"/>
      <c r="AQ1550" s="64"/>
      <c r="AR1550" s="21"/>
      <c r="AS1550" s="21"/>
      <c r="AT1550" s="21"/>
      <c r="AU1550" s="22"/>
      <c r="AV1550" s="21"/>
      <c r="AW1550" s="21"/>
      <c r="AX1550" s="21"/>
      <c r="AY1550" s="21"/>
      <c r="AZ1550" s="21"/>
      <c r="BA1550" s="21"/>
      <c r="BB1550" s="21"/>
      <c r="BC1550" s="21"/>
      <c r="BD1550" s="21"/>
      <c r="BE1550" s="21"/>
      <c r="BF1550" s="21"/>
      <c r="BG1550" s="21"/>
    </row>
    <row r="1551" spans="38:59">
      <c r="AL1551" s="21"/>
      <c r="AM1551" s="24"/>
      <c r="AN1551" s="21"/>
      <c r="AO1551" s="21"/>
      <c r="AP1551" s="64"/>
      <c r="AQ1551" s="64"/>
      <c r="AR1551" s="21"/>
      <c r="AS1551" s="21"/>
      <c r="AT1551" s="21"/>
      <c r="AU1551" s="22"/>
      <c r="AV1551" s="21"/>
      <c r="AW1551" s="21"/>
      <c r="AX1551" s="21"/>
      <c r="AY1551" s="21"/>
      <c r="AZ1551" s="21"/>
      <c r="BA1551" s="21"/>
      <c r="BB1551" s="21"/>
      <c r="BC1551" s="21"/>
      <c r="BD1551" s="21"/>
      <c r="BE1551" s="21"/>
      <c r="BF1551" s="21"/>
      <c r="BG1551" s="21"/>
    </row>
    <row r="1552" spans="38:59">
      <c r="AL1552" s="21"/>
      <c r="AM1552" s="24"/>
      <c r="AN1552" s="21"/>
      <c r="AO1552" s="21"/>
      <c r="AP1552" s="64"/>
      <c r="AQ1552" s="64"/>
      <c r="AR1552" s="21"/>
      <c r="AS1552" s="21"/>
      <c r="AT1552" s="21"/>
      <c r="AU1552" s="22"/>
      <c r="AV1552" s="21"/>
      <c r="AW1552" s="21"/>
      <c r="AX1552" s="21"/>
      <c r="AY1552" s="21"/>
      <c r="AZ1552" s="21"/>
      <c r="BA1552" s="21"/>
      <c r="BB1552" s="21"/>
      <c r="BC1552" s="21"/>
      <c r="BD1552" s="21"/>
      <c r="BE1552" s="21"/>
      <c r="BF1552" s="21"/>
      <c r="BG1552" s="21"/>
    </row>
    <row r="1553" spans="38:59">
      <c r="AL1553" s="21"/>
      <c r="AM1553" s="24"/>
      <c r="AN1553" s="21"/>
      <c r="AO1553" s="21"/>
      <c r="AP1553" s="64"/>
      <c r="AQ1553" s="64"/>
      <c r="AR1553" s="21"/>
      <c r="AS1553" s="21"/>
      <c r="AT1553" s="21"/>
      <c r="AU1553" s="22"/>
      <c r="AV1553" s="21"/>
      <c r="AW1553" s="21"/>
      <c r="AX1553" s="21"/>
      <c r="AY1553" s="21"/>
      <c r="AZ1553" s="21"/>
      <c r="BA1553" s="21"/>
      <c r="BB1553" s="21"/>
      <c r="BC1553" s="21"/>
      <c r="BD1553" s="21"/>
      <c r="BE1553" s="21"/>
      <c r="BF1553" s="21"/>
      <c r="BG1553" s="21"/>
    </row>
    <row r="1554" spans="38:59">
      <c r="AL1554" s="21"/>
      <c r="AM1554" s="24"/>
      <c r="AN1554" s="21"/>
      <c r="AO1554" s="21"/>
      <c r="AP1554" s="64"/>
      <c r="AQ1554" s="64"/>
      <c r="AR1554" s="21"/>
      <c r="AS1554" s="21"/>
      <c r="AT1554" s="21"/>
      <c r="AU1554" s="22"/>
      <c r="AV1554" s="21"/>
      <c r="AW1554" s="21"/>
      <c r="AX1554" s="21"/>
      <c r="AY1554" s="21"/>
      <c r="AZ1554" s="21"/>
      <c r="BA1554" s="21"/>
      <c r="BB1554" s="21"/>
      <c r="BC1554" s="21"/>
      <c r="BD1554" s="21"/>
      <c r="BE1554" s="21"/>
      <c r="BF1554" s="21"/>
      <c r="BG1554" s="21"/>
    </row>
    <row r="1555" spans="38:59">
      <c r="AL1555" s="21"/>
      <c r="AM1555" s="24"/>
      <c r="AN1555" s="21"/>
      <c r="AO1555" s="21"/>
      <c r="AP1555" s="64"/>
      <c r="AQ1555" s="64"/>
      <c r="AR1555" s="21"/>
      <c r="AS1555" s="21"/>
      <c r="AT1555" s="21"/>
      <c r="AU1555" s="22"/>
      <c r="AV1555" s="21"/>
      <c r="AW1555" s="21"/>
      <c r="AX1555" s="21"/>
      <c r="AY1555" s="21"/>
      <c r="AZ1555" s="21"/>
      <c r="BA1555" s="21"/>
      <c r="BB1555" s="21"/>
      <c r="BC1555" s="21"/>
      <c r="BD1555" s="21"/>
      <c r="BE1555" s="21"/>
      <c r="BF1555" s="21"/>
      <c r="BG1555" s="21"/>
    </row>
    <row r="1556" spans="38:59">
      <c r="AL1556" s="21"/>
      <c r="AM1556" s="24"/>
      <c r="AN1556" s="21"/>
      <c r="AO1556" s="21"/>
      <c r="AP1556" s="64"/>
      <c r="AQ1556" s="64"/>
      <c r="AR1556" s="21"/>
      <c r="AS1556" s="21"/>
      <c r="AT1556" s="21"/>
      <c r="AU1556" s="22"/>
      <c r="AV1556" s="21"/>
      <c r="AW1556" s="21"/>
      <c r="AX1556" s="21"/>
      <c r="AY1556" s="21"/>
      <c r="AZ1556" s="21"/>
      <c r="BA1556" s="21"/>
      <c r="BB1556" s="21"/>
      <c r="BC1556" s="21"/>
      <c r="BD1556" s="21"/>
      <c r="BE1556" s="21"/>
      <c r="BF1556" s="21"/>
      <c r="BG1556" s="21"/>
    </row>
    <row r="1557" spans="38:59">
      <c r="AL1557" s="21"/>
      <c r="AM1557" s="24"/>
      <c r="AN1557" s="21"/>
      <c r="AO1557" s="21"/>
      <c r="AP1557" s="64"/>
      <c r="AQ1557" s="64"/>
      <c r="AR1557" s="21"/>
      <c r="AS1557" s="21"/>
      <c r="AT1557" s="21"/>
      <c r="AU1557" s="22"/>
      <c r="AV1557" s="21"/>
      <c r="AW1557" s="21"/>
      <c r="AX1557" s="21"/>
      <c r="AY1557" s="21"/>
      <c r="AZ1557" s="21"/>
      <c r="BA1557" s="21"/>
      <c r="BB1557" s="21"/>
      <c r="BC1557" s="21"/>
      <c r="BD1557" s="21"/>
      <c r="BE1557" s="21"/>
      <c r="BF1557" s="21"/>
      <c r="BG1557" s="21"/>
    </row>
    <row r="1558" spans="38:59">
      <c r="AL1558" s="21"/>
      <c r="AM1558" s="24"/>
      <c r="AN1558" s="21"/>
      <c r="AO1558" s="21"/>
      <c r="AP1558" s="64"/>
      <c r="AQ1558" s="64"/>
      <c r="AR1558" s="21"/>
      <c r="AS1558" s="21"/>
      <c r="AT1558" s="21"/>
      <c r="AU1558" s="22"/>
      <c r="AV1558" s="21"/>
      <c r="AW1558" s="21"/>
      <c r="AX1558" s="21"/>
      <c r="AY1558" s="21"/>
      <c r="AZ1558" s="21"/>
      <c r="BA1558" s="21"/>
      <c r="BB1558" s="21"/>
      <c r="BC1558" s="21"/>
      <c r="BD1558" s="21"/>
      <c r="BE1558" s="21"/>
      <c r="BF1558" s="21"/>
      <c r="BG1558" s="21"/>
    </row>
    <row r="1559" spans="38:59">
      <c r="AL1559" s="21"/>
      <c r="AM1559" s="24"/>
      <c r="AN1559" s="21"/>
      <c r="AO1559" s="21"/>
      <c r="AP1559" s="64"/>
      <c r="AQ1559" s="64"/>
      <c r="AR1559" s="21"/>
      <c r="AS1559" s="21"/>
      <c r="AT1559" s="21"/>
      <c r="AU1559" s="22"/>
      <c r="AV1559" s="21"/>
      <c r="AW1559" s="21"/>
      <c r="AX1559" s="21"/>
      <c r="AY1559" s="21"/>
      <c r="AZ1559" s="21"/>
      <c r="BA1559" s="21"/>
      <c r="BB1559" s="21"/>
      <c r="BC1559" s="21"/>
      <c r="BD1559" s="21"/>
      <c r="BE1559" s="21"/>
      <c r="BF1559" s="21"/>
      <c r="BG1559" s="21"/>
    </row>
    <row r="1560" spans="38:59">
      <c r="AL1560" s="21"/>
      <c r="AM1560" s="24"/>
      <c r="AN1560" s="21"/>
      <c r="AO1560" s="21"/>
      <c r="AP1560" s="64"/>
      <c r="AQ1560" s="64"/>
      <c r="AR1560" s="21"/>
      <c r="AS1560" s="21"/>
      <c r="AT1560" s="21"/>
      <c r="AU1560" s="22"/>
      <c r="AV1560" s="21"/>
      <c r="AW1560" s="21"/>
      <c r="AX1560" s="21"/>
      <c r="AY1560" s="21"/>
      <c r="AZ1560" s="21"/>
      <c r="BA1560" s="21"/>
      <c r="BB1560" s="21"/>
      <c r="BC1560" s="21"/>
      <c r="BD1560" s="21"/>
      <c r="BE1560" s="21"/>
      <c r="BF1560" s="21"/>
      <c r="BG1560" s="21"/>
    </row>
    <row r="1561" spans="38:59">
      <c r="AL1561" s="21"/>
      <c r="AM1561" s="24"/>
      <c r="AN1561" s="21"/>
      <c r="AO1561" s="21"/>
      <c r="AP1561" s="64"/>
      <c r="AQ1561" s="64"/>
      <c r="AR1561" s="21"/>
      <c r="AS1561" s="21"/>
      <c r="AT1561" s="21"/>
      <c r="AU1561" s="22"/>
      <c r="AV1561" s="21"/>
      <c r="AW1561" s="21"/>
      <c r="AX1561" s="21"/>
      <c r="AY1561" s="21"/>
      <c r="AZ1561" s="21"/>
      <c r="BA1561" s="21"/>
      <c r="BB1561" s="21"/>
      <c r="BC1561" s="21"/>
      <c r="BD1561" s="21"/>
      <c r="BE1561" s="21"/>
      <c r="BF1561" s="21"/>
      <c r="BG1561" s="21"/>
    </row>
    <row r="1562" spans="38:59">
      <c r="AL1562" s="21"/>
      <c r="AM1562" s="24"/>
      <c r="AN1562" s="21"/>
      <c r="AO1562" s="21"/>
      <c r="AP1562" s="64"/>
      <c r="AQ1562" s="64"/>
      <c r="AR1562" s="21"/>
      <c r="AS1562" s="21"/>
      <c r="AT1562" s="21"/>
      <c r="AU1562" s="22"/>
      <c r="AV1562" s="21"/>
      <c r="AW1562" s="21"/>
      <c r="AX1562" s="21"/>
      <c r="AY1562" s="21"/>
      <c r="AZ1562" s="21"/>
      <c r="BA1562" s="21"/>
      <c r="BB1562" s="21"/>
      <c r="BC1562" s="21"/>
      <c r="BD1562" s="21"/>
      <c r="BE1562" s="21"/>
      <c r="BF1562" s="21"/>
      <c r="BG1562" s="21"/>
    </row>
    <row r="1563" spans="38:59">
      <c r="AL1563" s="21"/>
      <c r="AM1563" s="24"/>
      <c r="AN1563" s="21"/>
      <c r="AO1563" s="21"/>
      <c r="AP1563" s="64"/>
      <c r="AQ1563" s="64"/>
      <c r="AR1563" s="21"/>
      <c r="AS1563" s="21"/>
      <c r="AT1563" s="21"/>
      <c r="AU1563" s="22"/>
      <c r="AV1563" s="21"/>
      <c r="AW1563" s="21"/>
      <c r="AX1563" s="21"/>
      <c r="AY1563" s="21"/>
      <c r="AZ1563" s="21"/>
      <c r="BA1563" s="21"/>
      <c r="BB1563" s="21"/>
      <c r="BC1563" s="21"/>
      <c r="BD1563" s="21"/>
      <c r="BE1563" s="21"/>
      <c r="BF1563" s="21"/>
      <c r="BG1563" s="21"/>
    </row>
    <row r="1564" spans="38:59">
      <c r="AL1564" s="21"/>
      <c r="AM1564" s="24"/>
      <c r="AN1564" s="21"/>
      <c r="AO1564" s="21"/>
      <c r="AP1564" s="64"/>
      <c r="AQ1564" s="64"/>
      <c r="AR1564" s="21"/>
      <c r="AS1564" s="21"/>
      <c r="AT1564" s="21"/>
      <c r="AU1564" s="22"/>
      <c r="AV1564" s="21"/>
      <c r="AW1564" s="21"/>
      <c r="AX1564" s="21"/>
      <c r="AY1564" s="21"/>
      <c r="AZ1564" s="21"/>
      <c r="BA1564" s="21"/>
      <c r="BB1564" s="21"/>
      <c r="BC1564" s="21"/>
      <c r="BD1564" s="21"/>
      <c r="BE1564" s="21"/>
      <c r="BF1564" s="21"/>
      <c r="BG1564" s="21"/>
    </row>
    <row r="1565" spans="38:59">
      <c r="AL1565" s="21"/>
      <c r="AM1565" s="24"/>
      <c r="AN1565" s="21"/>
      <c r="AO1565" s="21"/>
      <c r="AP1565" s="64"/>
      <c r="AQ1565" s="64"/>
      <c r="AR1565" s="21"/>
      <c r="AS1565" s="21"/>
      <c r="AT1565" s="21"/>
      <c r="AU1565" s="22"/>
      <c r="AV1565" s="21"/>
      <c r="AW1565" s="21"/>
      <c r="AX1565" s="21"/>
      <c r="AY1565" s="21"/>
      <c r="AZ1565" s="21"/>
      <c r="BA1565" s="21"/>
      <c r="BB1565" s="21"/>
      <c r="BC1565" s="21"/>
      <c r="BD1565" s="21"/>
      <c r="BE1565" s="21"/>
      <c r="BF1565" s="21"/>
      <c r="BG1565" s="21"/>
    </row>
    <row r="1566" spans="38:59">
      <c r="AL1566" s="21"/>
      <c r="AM1566" s="24"/>
      <c r="AN1566" s="21"/>
      <c r="AO1566" s="21"/>
      <c r="AP1566" s="64"/>
      <c r="AQ1566" s="64"/>
      <c r="AR1566" s="21"/>
      <c r="AS1566" s="21"/>
      <c r="AT1566" s="21"/>
      <c r="AU1566" s="22"/>
      <c r="AV1566" s="21"/>
      <c r="AW1566" s="21"/>
      <c r="AX1566" s="21"/>
      <c r="AY1566" s="21"/>
      <c r="AZ1566" s="21"/>
      <c r="BA1566" s="21"/>
      <c r="BB1566" s="21"/>
      <c r="BC1566" s="21"/>
      <c r="BD1566" s="21"/>
      <c r="BE1566" s="21"/>
      <c r="BF1566" s="21"/>
      <c r="BG1566" s="21"/>
    </row>
    <row r="1567" spans="38:59">
      <c r="AL1567" s="21"/>
      <c r="AM1567" s="24"/>
      <c r="AN1567" s="21"/>
      <c r="AO1567" s="21"/>
      <c r="AP1567" s="64"/>
      <c r="AQ1567" s="64"/>
      <c r="AR1567" s="21"/>
      <c r="AS1567" s="21"/>
      <c r="AT1567" s="21"/>
      <c r="AU1567" s="22"/>
      <c r="AV1567" s="21"/>
      <c r="AW1567" s="21"/>
      <c r="AX1567" s="21"/>
      <c r="AY1567" s="21"/>
      <c r="AZ1567" s="21"/>
      <c r="BA1567" s="21"/>
      <c r="BB1567" s="21"/>
      <c r="BC1567" s="21"/>
      <c r="BD1567" s="21"/>
      <c r="BE1567" s="21"/>
      <c r="BF1567" s="21"/>
      <c r="BG1567" s="21"/>
    </row>
    <row r="1568" spans="38:59">
      <c r="AL1568" s="21"/>
      <c r="AM1568" s="24"/>
      <c r="AN1568" s="21"/>
      <c r="AO1568" s="21"/>
      <c r="AP1568" s="64"/>
      <c r="AQ1568" s="64"/>
      <c r="AR1568" s="21"/>
      <c r="AS1568" s="21"/>
      <c r="AT1568" s="21"/>
      <c r="AU1568" s="22"/>
      <c r="AV1568" s="21"/>
      <c r="AW1568" s="21"/>
      <c r="AX1568" s="21"/>
      <c r="AY1568" s="21"/>
      <c r="AZ1568" s="21"/>
      <c r="BA1568" s="21"/>
      <c r="BB1568" s="21"/>
      <c r="BC1568" s="21"/>
      <c r="BD1568" s="21"/>
      <c r="BE1568" s="21"/>
      <c r="BF1568" s="21"/>
      <c r="BG1568" s="21"/>
    </row>
    <row r="1569" spans="38:59">
      <c r="AL1569" s="21"/>
      <c r="AM1569" s="24"/>
      <c r="AN1569" s="21"/>
      <c r="AO1569" s="21"/>
      <c r="AP1569" s="64"/>
      <c r="AQ1569" s="64"/>
      <c r="AR1569" s="21"/>
      <c r="AS1569" s="21"/>
      <c r="AT1569" s="21"/>
      <c r="AU1569" s="22"/>
      <c r="AV1569" s="21"/>
      <c r="AW1569" s="21"/>
      <c r="AX1569" s="21"/>
      <c r="AY1569" s="21"/>
      <c r="AZ1569" s="21"/>
      <c r="BA1569" s="21"/>
      <c r="BB1569" s="21"/>
      <c r="BC1569" s="21"/>
      <c r="BD1569" s="21"/>
      <c r="BE1569" s="21"/>
      <c r="BF1569" s="21"/>
      <c r="BG1569" s="21"/>
    </row>
    <row r="1570" spans="38:59">
      <c r="AL1570" s="21"/>
      <c r="AM1570" s="24"/>
      <c r="AN1570" s="21"/>
      <c r="AO1570" s="21"/>
      <c r="AP1570" s="64"/>
      <c r="AQ1570" s="64"/>
      <c r="AR1570" s="21"/>
      <c r="AS1570" s="21"/>
      <c r="AT1570" s="21"/>
      <c r="AU1570" s="22"/>
      <c r="AV1570" s="21"/>
      <c r="AW1570" s="21"/>
      <c r="AX1570" s="21"/>
      <c r="AY1570" s="21"/>
      <c r="AZ1570" s="21"/>
      <c r="BA1570" s="21"/>
      <c r="BB1570" s="21"/>
      <c r="BC1570" s="21"/>
      <c r="BD1570" s="21"/>
      <c r="BE1570" s="21"/>
      <c r="BF1570" s="21"/>
      <c r="BG1570" s="21"/>
    </row>
    <row r="1571" spans="38:59">
      <c r="AL1571" s="21"/>
      <c r="AM1571" s="24"/>
      <c r="AN1571" s="21"/>
      <c r="AO1571" s="21"/>
      <c r="AP1571" s="64"/>
      <c r="AQ1571" s="64"/>
      <c r="AR1571" s="21"/>
      <c r="AS1571" s="21"/>
      <c r="AT1571" s="21"/>
      <c r="AU1571" s="22"/>
      <c r="AV1571" s="21"/>
      <c r="AW1571" s="21"/>
      <c r="AX1571" s="21"/>
      <c r="AY1571" s="21"/>
      <c r="AZ1571" s="21"/>
      <c r="BA1571" s="21"/>
      <c r="BB1571" s="21"/>
      <c r="BC1571" s="21"/>
      <c r="BD1571" s="21"/>
      <c r="BE1571" s="21"/>
      <c r="BF1571" s="21"/>
      <c r="BG1571" s="21"/>
    </row>
    <row r="1572" spans="38:59">
      <c r="AL1572" s="21"/>
      <c r="AM1572" s="24"/>
      <c r="AN1572" s="21"/>
      <c r="AO1572" s="21"/>
      <c r="AP1572" s="64"/>
      <c r="AQ1572" s="64"/>
      <c r="AR1572" s="21"/>
      <c r="AS1572" s="21"/>
      <c r="AT1572" s="21"/>
      <c r="AU1572" s="22"/>
      <c r="AV1572" s="21"/>
      <c r="AW1572" s="21"/>
      <c r="AX1572" s="21"/>
      <c r="AY1572" s="21"/>
      <c r="AZ1572" s="21"/>
      <c r="BA1572" s="21"/>
      <c r="BB1572" s="21"/>
      <c r="BC1572" s="21"/>
      <c r="BD1572" s="21"/>
      <c r="BE1572" s="21"/>
      <c r="BF1572" s="21"/>
      <c r="BG1572" s="21"/>
    </row>
    <row r="1573" spans="38:59">
      <c r="AL1573" s="21"/>
      <c r="AM1573" s="24"/>
      <c r="AN1573" s="21"/>
      <c r="AO1573" s="21"/>
      <c r="AP1573" s="64"/>
      <c r="AQ1573" s="64"/>
      <c r="AR1573" s="21"/>
      <c r="AS1573" s="21"/>
      <c r="AT1573" s="21"/>
      <c r="AU1573" s="22"/>
      <c r="AV1573" s="21"/>
      <c r="AW1573" s="21"/>
      <c r="AX1573" s="21"/>
      <c r="AY1573" s="21"/>
      <c r="AZ1573" s="21"/>
      <c r="BA1573" s="21"/>
      <c r="BB1573" s="21"/>
      <c r="BC1573" s="21"/>
      <c r="BD1573" s="21"/>
      <c r="BE1573" s="21"/>
      <c r="BF1573" s="21"/>
      <c r="BG1573" s="21"/>
    </row>
    <row r="1574" spans="38:59">
      <c r="AL1574" s="21"/>
      <c r="AM1574" s="24"/>
      <c r="AN1574" s="21"/>
      <c r="AO1574" s="21"/>
      <c r="AP1574" s="64"/>
      <c r="AQ1574" s="64"/>
      <c r="AR1574" s="21"/>
      <c r="AS1574" s="21"/>
      <c r="AT1574" s="21"/>
      <c r="AU1574" s="22"/>
      <c r="AV1574" s="21"/>
      <c r="AW1574" s="21"/>
      <c r="AX1574" s="21"/>
      <c r="AY1574" s="21"/>
      <c r="AZ1574" s="21"/>
      <c r="BA1574" s="21"/>
      <c r="BB1574" s="21"/>
      <c r="BC1574" s="21"/>
      <c r="BD1574" s="21"/>
      <c r="BE1574" s="21"/>
      <c r="BF1574" s="21"/>
      <c r="BG1574" s="21"/>
    </row>
    <row r="1575" spans="38:59">
      <c r="AL1575" s="21"/>
      <c r="AM1575" s="24"/>
      <c r="AN1575" s="21"/>
      <c r="AO1575" s="21"/>
      <c r="AP1575" s="64"/>
      <c r="AQ1575" s="64"/>
      <c r="AR1575" s="21"/>
      <c r="AS1575" s="21"/>
      <c r="AT1575" s="21"/>
      <c r="AU1575" s="22"/>
      <c r="AV1575" s="21"/>
      <c r="AW1575" s="21"/>
      <c r="AX1575" s="21"/>
      <c r="AY1575" s="21"/>
      <c r="AZ1575" s="21"/>
      <c r="BA1575" s="21"/>
      <c r="BB1575" s="21"/>
      <c r="BC1575" s="21"/>
      <c r="BD1575" s="21"/>
      <c r="BE1575" s="21"/>
      <c r="BF1575" s="21"/>
      <c r="BG1575" s="21"/>
    </row>
    <row r="1576" spans="38:59">
      <c r="AL1576" s="21"/>
      <c r="AM1576" s="24"/>
      <c r="AN1576" s="21"/>
      <c r="AO1576" s="21"/>
      <c r="AP1576" s="64"/>
      <c r="AQ1576" s="64"/>
      <c r="AR1576" s="21"/>
      <c r="AS1576" s="21"/>
      <c r="AT1576" s="21"/>
      <c r="AU1576" s="22"/>
      <c r="AV1576" s="21"/>
      <c r="AW1576" s="21"/>
      <c r="AX1576" s="21"/>
      <c r="AY1576" s="21"/>
      <c r="AZ1576" s="21"/>
      <c r="BA1576" s="21"/>
      <c r="BB1576" s="21"/>
      <c r="BC1576" s="21"/>
      <c r="BD1576" s="21"/>
      <c r="BE1576" s="21"/>
      <c r="BF1576" s="21"/>
      <c r="BG1576" s="21"/>
    </row>
    <row r="1577" spans="38:59">
      <c r="AL1577" s="21"/>
      <c r="AM1577" s="24"/>
      <c r="AN1577" s="21"/>
      <c r="AO1577" s="21"/>
      <c r="AP1577" s="64"/>
      <c r="AQ1577" s="64"/>
      <c r="AR1577" s="21"/>
      <c r="AS1577" s="21"/>
      <c r="AT1577" s="21"/>
      <c r="AU1577" s="22"/>
      <c r="AV1577" s="21"/>
      <c r="AW1577" s="21"/>
      <c r="AX1577" s="21"/>
      <c r="AY1577" s="21"/>
      <c r="AZ1577" s="21"/>
      <c r="BA1577" s="21"/>
      <c r="BB1577" s="21"/>
      <c r="BC1577" s="21"/>
      <c r="BD1577" s="21"/>
      <c r="BE1577" s="21"/>
      <c r="BF1577" s="21"/>
      <c r="BG1577" s="21"/>
    </row>
    <row r="1578" spans="38:59">
      <c r="AL1578" s="21"/>
      <c r="AM1578" s="24"/>
      <c r="AN1578" s="21"/>
      <c r="AO1578" s="21"/>
      <c r="AP1578" s="64"/>
      <c r="AQ1578" s="64"/>
      <c r="AR1578" s="21"/>
      <c r="AS1578" s="21"/>
      <c r="AT1578" s="21"/>
      <c r="AU1578" s="22"/>
      <c r="AV1578" s="21"/>
      <c r="AW1578" s="21"/>
      <c r="AX1578" s="21"/>
      <c r="AY1578" s="21"/>
      <c r="AZ1578" s="21"/>
      <c r="BA1578" s="21"/>
      <c r="BB1578" s="21"/>
      <c r="BC1578" s="21"/>
      <c r="BD1578" s="21"/>
      <c r="BE1578" s="21"/>
      <c r="BF1578" s="21"/>
      <c r="BG1578" s="21"/>
    </row>
    <row r="1579" spans="38:59">
      <c r="AL1579" s="21"/>
      <c r="AM1579" s="24"/>
      <c r="AN1579" s="21"/>
      <c r="AO1579" s="21"/>
      <c r="AP1579" s="64"/>
      <c r="AQ1579" s="64"/>
      <c r="AR1579" s="21"/>
      <c r="AS1579" s="21"/>
      <c r="AT1579" s="21"/>
      <c r="AU1579" s="22"/>
      <c r="AV1579" s="21"/>
      <c r="AW1579" s="21"/>
      <c r="AX1579" s="21"/>
      <c r="AY1579" s="21"/>
      <c r="AZ1579" s="21"/>
      <c r="BA1579" s="21"/>
      <c r="BB1579" s="21"/>
      <c r="BC1579" s="21"/>
      <c r="BD1579" s="21"/>
      <c r="BE1579" s="21"/>
      <c r="BF1579" s="21"/>
      <c r="BG1579" s="21"/>
    </row>
    <row r="1580" spans="38:59">
      <c r="AL1580" s="21"/>
      <c r="AM1580" s="24"/>
      <c r="AN1580" s="21"/>
      <c r="AO1580" s="21"/>
      <c r="AP1580" s="64"/>
      <c r="AQ1580" s="64"/>
      <c r="AR1580" s="21"/>
      <c r="AS1580" s="21"/>
      <c r="AT1580" s="21"/>
      <c r="AU1580" s="22"/>
      <c r="AV1580" s="21"/>
      <c r="AW1580" s="21"/>
      <c r="AX1580" s="21"/>
      <c r="AY1580" s="21"/>
      <c r="AZ1580" s="21"/>
      <c r="BA1580" s="21"/>
      <c r="BB1580" s="21"/>
      <c r="BC1580" s="21"/>
      <c r="BD1580" s="21"/>
      <c r="BE1580" s="21"/>
      <c r="BF1580" s="21"/>
      <c r="BG1580" s="21"/>
    </row>
    <row r="1581" spans="38:59">
      <c r="AL1581" s="21"/>
      <c r="AM1581" s="24"/>
      <c r="AN1581" s="21"/>
      <c r="AO1581" s="21"/>
      <c r="AP1581" s="64"/>
      <c r="AQ1581" s="64"/>
      <c r="AR1581" s="21"/>
      <c r="AS1581" s="21"/>
      <c r="AT1581" s="21"/>
      <c r="AU1581" s="22"/>
      <c r="AV1581" s="21"/>
      <c r="AW1581" s="21"/>
      <c r="AX1581" s="21"/>
      <c r="AY1581" s="21"/>
      <c r="AZ1581" s="21"/>
      <c r="BA1581" s="21"/>
      <c r="BB1581" s="21"/>
      <c r="BC1581" s="21"/>
      <c r="BD1581" s="21"/>
      <c r="BE1581" s="21"/>
      <c r="BF1581" s="21"/>
      <c r="BG1581" s="21"/>
    </row>
    <row r="1582" spans="38:59">
      <c r="AL1582" s="21"/>
      <c r="AM1582" s="24"/>
      <c r="AN1582" s="21"/>
      <c r="AO1582" s="21"/>
      <c r="AP1582" s="64"/>
      <c r="AQ1582" s="64"/>
      <c r="AR1582" s="21"/>
      <c r="AS1582" s="21"/>
      <c r="AT1582" s="21"/>
      <c r="AU1582" s="22"/>
      <c r="AV1582" s="21"/>
      <c r="AW1582" s="21"/>
      <c r="AX1582" s="21"/>
      <c r="AY1582" s="21"/>
      <c r="AZ1582" s="21"/>
      <c r="BA1582" s="21"/>
      <c r="BB1582" s="21"/>
      <c r="BC1582" s="21"/>
      <c r="BD1582" s="21"/>
      <c r="BE1582" s="21"/>
      <c r="BF1582" s="21"/>
      <c r="BG1582" s="21"/>
    </row>
    <row r="1583" spans="38:59">
      <c r="AL1583" s="21"/>
      <c r="AM1583" s="24"/>
      <c r="AN1583" s="21"/>
      <c r="AO1583" s="21"/>
      <c r="AP1583" s="64"/>
      <c r="AQ1583" s="64"/>
      <c r="AR1583" s="21"/>
      <c r="AS1583" s="21"/>
      <c r="AT1583" s="21"/>
      <c r="AU1583" s="22"/>
      <c r="AV1583" s="21"/>
      <c r="AW1583" s="21"/>
      <c r="AX1583" s="21"/>
      <c r="AY1583" s="21"/>
      <c r="AZ1583" s="21"/>
      <c r="BA1583" s="21"/>
      <c r="BB1583" s="21"/>
      <c r="BC1583" s="21"/>
      <c r="BD1583" s="21"/>
      <c r="BE1583" s="21"/>
      <c r="BF1583" s="21"/>
      <c r="BG1583" s="21"/>
    </row>
    <row r="1584" spans="38:59">
      <c r="AL1584" s="21"/>
      <c r="AM1584" s="24"/>
      <c r="AN1584" s="21"/>
      <c r="AO1584" s="21"/>
      <c r="AP1584" s="64"/>
      <c r="AQ1584" s="64"/>
      <c r="AR1584" s="21"/>
      <c r="AS1584" s="21"/>
      <c r="AT1584" s="21"/>
      <c r="AU1584" s="22"/>
      <c r="AV1584" s="21"/>
      <c r="AW1584" s="21"/>
      <c r="AX1584" s="21"/>
      <c r="AY1584" s="21"/>
      <c r="AZ1584" s="21"/>
      <c r="BA1584" s="21"/>
      <c r="BB1584" s="21"/>
      <c r="BC1584" s="21"/>
      <c r="BD1584" s="21"/>
      <c r="BE1584" s="21"/>
      <c r="BF1584" s="21"/>
      <c r="BG1584" s="21"/>
    </row>
    <row r="1585" spans="38:59">
      <c r="AL1585" s="21"/>
      <c r="AM1585" s="24"/>
      <c r="AN1585" s="21"/>
      <c r="AO1585" s="21"/>
      <c r="AP1585" s="64"/>
      <c r="AQ1585" s="64"/>
      <c r="AR1585" s="21"/>
      <c r="AS1585" s="21"/>
      <c r="AT1585" s="21"/>
      <c r="AU1585" s="22"/>
      <c r="AV1585" s="21"/>
      <c r="AW1585" s="21"/>
      <c r="AX1585" s="21"/>
      <c r="AY1585" s="21"/>
      <c r="AZ1585" s="21"/>
      <c r="BA1585" s="21"/>
      <c r="BB1585" s="21"/>
      <c r="BC1585" s="21"/>
      <c r="BD1585" s="21"/>
      <c r="BE1585" s="21"/>
      <c r="BF1585" s="21"/>
      <c r="BG1585" s="21"/>
    </row>
    <row r="1586" spans="38:59">
      <c r="AL1586" s="21"/>
      <c r="AM1586" s="24"/>
      <c r="AN1586" s="21"/>
      <c r="AO1586" s="21"/>
      <c r="AP1586" s="64"/>
      <c r="AQ1586" s="64"/>
      <c r="AR1586" s="21"/>
      <c r="AS1586" s="21"/>
      <c r="AT1586" s="21"/>
      <c r="AU1586" s="22"/>
      <c r="AV1586" s="21"/>
      <c r="AW1586" s="21"/>
      <c r="AX1586" s="21"/>
      <c r="AY1586" s="21"/>
      <c r="AZ1586" s="21"/>
      <c r="BA1586" s="21"/>
      <c r="BB1586" s="21"/>
      <c r="BC1586" s="21"/>
      <c r="BD1586" s="21"/>
      <c r="BE1586" s="21"/>
      <c r="BF1586" s="21"/>
      <c r="BG1586" s="21"/>
    </row>
    <row r="1587" spans="38:59">
      <c r="AL1587" s="21"/>
      <c r="AM1587" s="24"/>
      <c r="AN1587" s="21"/>
      <c r="AO1587" s="21"/>
      <c r="AP1587" s="64"/>
      <c r="AQ1587" s="64"/>
      <c r="AR1587" s="21"/>
      <c r="AS1587" s="21"/>
      <c r="AT1587" s="21"/>
      <c r="AU1587" s="22"/>
      <c r="AV1587" s="21"/>
      <c r="AW1587" s="21"/>
      <c r="AX1587" s="21"/>
      <c r="AY1587" s="21"/>
      <c r="AZ1587" s="21"/>
      <c r="BA1587" s="21"/>
      <c r="BB1587" s="21"/>
      <c r="BC1587" s="21"/>
      <c r="BD1587" s="21"/>
      <c r="BE1587" s="21"/>
      <c r="BF1587" s="21"/>
      <c r="BG1587" s="21"/>
    </row>
    <row r="1588" spans="38:59">
      <c r="AL1588" s="21"/>
      <c r="AM1588" s="24"/>
      <c r="AN1588" s="21"/>
      <c r="AO1588" s="21"/>
      <c r="AP1588" s="64"/>
      <c r="AQ1588" s="64"/>
      <c r="AR1588" s="21"/>
      <c r="AS1588" s="21"/>
      <c r="AT1588" s="21"/>
      <c r="AU1588" s="22"/>
      <c r="AV1588" s="21"/>
      <c r="AW1588" s="21"/>
      <c r="AX1588" s="21"/>
      <c r="AY1588" s="21"/>
      <c r="AZ1588" s="21"/>
      <c r="BA1588" s="21"/>
      <c r="BB1588" s="21"/>
      <c r="BC1588" s="21"/>
      <c r="BD1588" s="21"/>
      <c r="BE1588" s="21"/>
      <c r="BF1588" s="21"/>
      <c r="BG1588" s="21"/>
    </row>
    <row r="1589" spans="38:59">
      <c r="AL1589" s="21"/>
      <c r="AM1589" s="24"/>
      <c r="AN1589" s="21"/>
      <c r="AO1589" s="21"/>
      <c r="AP1589" s="64"/>
      <c r="AQ1589" s="64"/>
      <c r="AR1589" s="21"/>
      <c r="AS1589" s="21"/>
      <c r="AT1589" s="21"/>
      <c r="AU1589" s="22"/>
      <c r="AV1589" s="21"/>
      <c r="AW1589" s="21"/>
      <c r="AX1589" s="21"/>
      <c r="AY1589" s="21"/>
      <c r="AZ1589" s="21"/>
      <c r="BA1589" s="21"/>
      <c r="BB1589" s="21"/>
      <c r="BC1589" s="21"/>
      <c r="BD1589" s="21"/>
      <c r="BE1589" s="21"/>
      <c r="BF1589" s="21"/>
      <c r="BG1589" s="21"/>
    </row>
    <row r="1590" spans="38:59">
      <c r="AL1590" s="21"/>
      <c r="AM1590" s="24"/>
      <c r="AN1590" s="21"/>
      <c r="AO1590" s="21"/>
      <c r="AP1590" s="64"/>
      <c r="AQ1590" s="64"/>
      <c r="AR1590" s="21"/>
      <c r="AS1590" s="21"/>
      <c r="AT1590" s="21"/>
      <c r="AU1590" s="22"/>
      <c r="AV1590" s="21"/>
      <c r="AW1590" s="21"/>
      <c r="AX1590" s="21"/>
      <c r="AY1590" s="21"/>
      <c r="AZ1590" s="21"/>
      <c r="BA1590" s="21"/>
      <c r="BB1590" s="21"/>
      <c r="BC1590" s="21"/>
      <c r="BD1590" s="21"/>
      <c r="BE1590" s="21"/>
      <c r="BF1590" s="21"/>
      <c r="BG1590" s="21"/>
    </row>
    <row r="1591" spans="38:59">
      <c r="AL1591" s="21"/>
      <c r="AM1591" s="24"/>
      <c r="AN1591" s="21"/>
      <c r="AO1591" s="21"/>
      <c r="AP1591" s="64"/>
      <c r="AQ1591" s="64"/>
      <c r="AR1591" s="21"/>
      <c r="AS1591" s="21"/>
      <c r="AT1591" s="21"/>
      <c r="AU1591" s="22"/>
      <c r="AV1591" s="21"/>
      <c r="AW1591" s="21"/>
      <c r="AX1591" s="21"/>
      <c r="AY1591" s="21"/>
      <c r="AZ1591" s="21"/>
      <c r="BA1591" s="21"/>
      <c r="BB1591" s="21"/>
      <c r="BC1591" s="21"/>
      <c r="BD1591" s="21"/>
      <c r="BE1591" s="21"/>
      <c r="BF1591" s="21"/>
      <c r="BG1591" s="21"/>
    </row>
    <row r="1592" spans="38:59">
      <c r="AL1592" s="21"/>
      <c r="AM1592" s="24"/>
      <c r="AN1592" s="21"/>
      <c r="AO1592" s="21"/>
      <c r="AP1592" s="64"/>
      <c r="AQ1592" s="64"/>
      <c r="AR1592" s="21"/>
      <c r="AS1592" s="21"/>
      <c r="AT1592" s="21"/>
      <c r="AU1592" s="22"/>
      <c r="AV1592" s="21"/>
      <c r="AW1592" s="21"/>
      <c r="AX1592" s="21"/>
      <c r="AY1592" s="21"/>
      <c r="AZ1592" s="21"/>
      <c r="BA1592" s="21"/>
      <c r="BB1592" s="21"/>
      <c r="BC1592" s="21"/>
      <c r="BD1592" s="21"/>
      <c r="BE1592" s="21"/>
      <c r="BF1592" s="21"/>
      <c r="BG1592" s="21"/>
    </row>
    <row r="1593" spans="38:59">
      <c r="AL1593" s="21"/>
      <c r="AM1593" s="24"/>
      <c r="AN1593" s="21"/>
      <c r="AO1593" s="21"/>
      <c r="AP1593" s="64"/>
      <c r="AQ1593" s="64"/>
      <c r="AR1593" s="21"/>
      <c r="AS1593" s="21"/>
      <c r="AT1593" s="21"/>
      <c r="AU1593" s="22"/>
      <c r="AV1593" s="21"/>
      <c r="AW1593" s="21"/>
      <c r="AX1593" s="21"/>
      <c r="AY1593" s="21"/>
      <c r="AZ1593" s="21"/>
      <c r="BA1593" s="21"/>
      <c r="BB1593" s="21"/>
      <c r="BC1593" s="21"/>
      <c r="BD1593" s="21"/>
      <c r="BE1593" s="21"/>
      <c r="BF1593" s="21"/>
      <c r="BG1593" s="21"/>
    </row>
    <row r="1594" spans="38:59">
      <c r="AL1594" s="21"/>
      <c r="AM1594" s="24"/>
      <c r="AN1594" s="21"/>
      <c r="AO1594" s="21"/>
      <c r="AP1594" s="64"/>
      <c r="AQ1594" s="64"/>
      <c r="AR1594" s="21"/>
      <c r="AS1594" s="21"/>
      <c r="AT1594" s="21"/>
      <c r="AU1594" s="22"/>
      <c r="AV1594" s="21"/>
      <c r="AW1594" s="21"/>
      <c r="AX1594" s="21"/>
      <c r="AY1594" s="21"/>
      <c r="AZ1594" s="21"/>
      <c r="BA1594" s="21"/>
      <c r="BB1594" s="21"/>
      <c r="BC1594" s="21"/>
      <c r="BD1594" s="21"/>
      <c r="BE1594" s="21"/>
      <c r="BF1594" s="21"/>
      <c r="BG1594" s="21"/>
    </row>
    <row r="1595" spans="38:59">
      <c r="AL1595" s="21"/>
      <c r="AM1595" s="24"/>
      <c r="AN1595" s="21"/>
      <c r="AO1595" s="21"/>
      <c r="AP1595" s="64"/>
      <c r="AQ1595" s="64"/>
      <c r="AR1595" s="21"/>
      <c r="AS1595" s="21"/>
      <c r="AT1595" s="21"/>
      <c r="AU1595" s="22"/>
      <c r="AV1595" s="21"/>
      <c r="AW1595" s="21"/>
      <c r="AX1595" s="21"/>
      <c r="AY1595" s="21"/>
      <c r="AZ1595" s="21"/>
      <c r="BA1595" s="21"/>
      <c r="BB1595" s="21"/>
      <c r="BC1595" s="21"/>
      <c r="BD1595" s="21"/>
      <c r="BE1595" s="21"/>
      <c r="BF1595" s="21"/>
      <c r="BG1595" s="21"/>
    </row>
    <row r="1596" spans="38:59">
      <c r="AL1596" s="21"/>
      <c r="AM1596" s="24"/>
      <c r="AN1596" s="21"/>
      <c r="AO1596" s="21"/>
      <c r="AP1596" s="64"/>
      <c r="AQ1596" s="64"/>
      <c r="AR1596" s="21"/>
      <c r="AS1596" s="21"/>
      <c r="AT1596" s="21"/>
      <c r="AU1596" s="22"/>
      <c r="AV1596" s="21"/>
      <c r="AW1596" s="21"/>
      <c r="AX1596" s="21"/>
      <c r="AY1596" s="21"/>
      <c r="AZ1596" s="21"/>
      <c r="BA1596" s="21"/>
      <c r="BB1596" s="21"/>
      <c r="BC1596" s="21"/>
      <c r="BD1596" s="21"/>
      <c r="BE1596" s="21"/>
      <c r="BF1596" s="21"/>
      <c r="BG1596" s="21"/>
    </row>
    <row r="1597" spans="38:59">
      <c r="AL1597" s="21"/>
      <c r="AM1597" s="24"/>
      <c r="AN1597" s="21"/>
      <c r="AO1597" s="21"/>
      <c r="AP1597" s="64"/>
      <c r="AQ1597" s="64"/>
      <c r="AR1597" s="21"/>
      <c r="AS1597" s="21"/>
      <c r="AT1597" s="21"/>
      <c r="AU1597" s="22"/>
      <c r="AV1597" s="21"/>
      <c r="AW1597" s="21"/>
      <c r="AX1597" s="21"/>
      <c r="AY1597" s="21"/>
      <c r="AZ1597" s="21"/>
      <c r="BA1597" s="21"/>
      <c r="BB1597" s="21"/>
      <c r="BC1597" s="21"/>
      <c r="BD1597" s="21"/>
      <c r="BE1597" s="21"/>
      <c r="BF1597" s="21"/>
      <c r="BG1597" s="21"/>
    </row>
    <row r="1598" spans="38:59">
      <c r="AL1598" s="21"/>
      <c r="AM1598" s="24"/>
      <c r="AN1598" s="21"/>
      <c r="AO1598" s="21"/>
      <c r="AP1598" s="64"/>
      <c r="AQ1598" s="64"/>
      <c r="AR1598" s="21"/>
      <c r="AS1598" s="21"/>
      <c r="AT1598" s="21"/>
      <c r="AU1598" s="22"/>
      <c r="AV1598" s="21"/>
      <c r="AW1598" s="21"/>
      <c r="AX1598" s="21"/>
      <c r="AY1598" s="21"/>
      <c r="AZ1598" s="21"/>
      <c r="BA1598" s="21"/>
      <c r="BB1598" s="21"/>
      <c r="BC1598" s="21"/>
      <c r="BD1598" s="21"/>
      <c r="BE1598" s="21"/>
      <c r="BF1598" s="21"/>
      <c r="BG1598" s="21"/>
    </row>
    <row r="1599" spans="38:59">
      <c r="AL1599" s="21"/>
      <c r="AM1599" s="24"/>
      <c r="AN1599" s="21"/>
      <c r="AO1599" s="21"/>
      <c r="AP1599" s="64"/>
      <c r="AQ1599" s="64"/>
      <c r="AR1599" s="21"/>
      <c r="AS1599" s="21"/>
      <c r="AT1599" s="21"/>
      <c r="AU1599" s="22"/>
      <c r="AV1599" s="21"/>
      <c r="AW1599" s="21"/>
      <c r="AX1599" s="21"/>
      <c r="AY1599" s="21"/>
      <c r="AZ1599" s="21"/>
      <c r="BA1599" s="21"/>
      <c r="BB1599" s="21"/>
      <c r="BC1599" s="21"/>
      <c r="BD1599" s="21"/>
      <c r="BE1599" s="21"/>
      <c r="BF1599" s="21"/>
      <c r="BG1599" s="21"/>
    </row>
    <row r="1600" spans="38:59">
      <c r="AL1600" s="21"/>
      <c r="AM1600" s="24"/>
      <c r="AN1600" s="21"/>
      <c r="AO1600" s="21"/>
      <c r="AP1600" s="64"/>
      <c r="AQ1600" s="64"/>
      <c r="AR1600" s="21"/>
      <c r="AS1600" s="21"/>
      <c r="AT1600" s="21"/>
      <c r="AU1600" s="22"/>
      <c r="AV1600" s="21"/>
      <c r="AW1600" s="21"/>
      <c r="AX1600" s="21"/>
      <c r="AY1600" s="21"/>
      <c r="AZ1600" s="21"/>
      <c r="BA1600" s="21"/>
      <c r="BB1600" s="21"/>
      <c r="BC1600" s="21"/>
      <c r="BD1600" s="21"/>
      <c r="BE1600" s="21"/>
      <c r="BF1600" s="21"/>
      <c r="BG1600" s="21"/>
    </row>
    <row r="1601" spans="38:59">
      <c r="AL1601" s="21"/>
      <c r="AM1601" s="24"/>
      <c r="AN1601" s="21"/>
      <c r="AO1601" s="21"/>
      <c r="AP1601" s="64"/>
      <c r="AQ1601" s="64"/>
      <c r="AR1601" s="21"/>
      <c r="AS1601" s="21"/>
      <c r="AT1601" s="21"/>
      <c r="AU1601" s="22"/>
      <c r="AV1601" s="21"/>
      <c r="AW1601" s="21"/>
      <c r="AX1601" s="21"/>
      <c r="AY1601" s="21"/>
      <c r="AZ1601" s="21"/>
      <c r="BA1601" s="21"/>
      <c r="BB1601" s="21"/>
      <c r="BC1601" s="21"/>
      <c r="BD1601" s="21"/>
      <c r="BE1601" s="21"/>
      <c r="BF1601" s="21"/>
      <c r="BG1601" s="21"/>
    </row>
    <row r="1602" spans="38:59">
      <c r="AL1602" s="21"/>
      <c r="AM1602" s="24"/>
      <c r="AN1602" s="21"/>
      <c r="AO1602" s="21"/>
      <c r="AP1602" s="64"/>
      <c r="AQ1602" s="64"/>
      <c r="AR1602" s="21"/>
      <c r="AS1602" s="21"/>
      <c r="AT1602" s="21"/>
      <c r="AU1602" s="22"/>
      <c r="AV1602" s="21"/>
      <c r="AW1602" s="21"/>
      <c r="AX1602" s="21"/>
      <c r="AY1602" s="21"/>
      <c r="AZ1602" s="21"/>
      <c r="BA1602" s="21"/>
      <c r="BB1602" s="21"/>
      <c r="BC1602" s="21"/>
      <c r="BD1602" s="21"/>
      <c r="BE1602" s="21"/>
      <c r="BF1602" s="21"/>
      <c r="BG1602" s="21"/>
    </row>
    <row r="1603" spans="38:59">
      <c r="AL1603" s="21"/>
      <c r="AM1603" s="24"/>
      <c r="AN1603" s="21"/>
      <c r="AO1603" s="21"/>
      <c r="AP1603" s="64"/>
      <c r="AQ1603" s="64"/>
      <c r="AR1603" s="21"/>
      <c r="AS1603" s="21"/>
      <c r="AT1603" s="21"/>
      <c r="AU1603" s="22"/>
      <c r="AV1603" s="21"/>
      <c r="AW1603" s="21"/>
      <c r="AX1603" s="21"/>
      <c r="AY1603" s="21"/>
      <c r="AZ1603" s="21"/>
      <c r="BA1603" s="21"/>
      <c r="BB1603" s="21"/>
      <c r="BC1603" s="21"/>
      <c r="BD1603" s="21"/>
      <c r="BE1603" s="21"/>
      <c r="BF1603" s="21"/>
      <c r="BG1603" s="21"/>
    </row>
    <row r="1604" spans="38:59">
      <c r="AL1604" s="21"/>
      <c r="AM1604" s="24"/>
      <c r="AN1604" s="21"/>
      <c r="AO1604" s="21"/>
      <c r="AP1604" s="64"/>
      <c r="AQ1604" s="64"/>
      <c r="AR1604" s="21"/>
      <c r="AS1604" s="21"/>
      <c r="AT1604" s="21"/>
      <c r="AU1604" s="22"/>
      <c r="AV1604" s="21"/>
      <c r="AW1604" s="21"/>
      <c r="AX1604" s="21"/>
      <c r="AY1604" s="21"/>
      <c r="AZ1604" s="21"/>
      <c r="BA1604" s="21"/>
      <c r="BB1604" s="21"/>
      <c r="BC1604" s="21"/>
      <c r="BD1604" s="21"/>
      <c r="BE1604" s="21"/>
      <c r="BF1604" s="21"/>
      <c r="BG1604" s="21"/>
    </row>
    <row r="1605" spans="38:59">
      <c r="AL1605" s="21"/>
      <c r="AM1605" s="24"/>
      <c r="AN1605" s="21"/>
      <c r="AO1605" s="21"/>
      <c r="AP1605" s="64"/>
      <c r="AQ1605" s="64"/>
      <c r="AR1605" s="21"/>
      <c r="AS1605" s="21"/>
      <c r="AT1605" s="21"/>
      <c r="AU1605" s="22"/>
      <c r="AV1605" s="21"/>
      <c r="AW1605" s="21"/>
      <c r="AX1605" s="21"/>
      <c r="AY1605" s="21"/>
      <c r="AZ1605" s="21"/>
      <c r="BA1605" s="21"/>
      <c r="BB1605" s="21"/>
      <c r="BC1605" s="21"/>
      <c r="BD1605" s="21"/>
      <c r="BE1605" s="21"/>
      <c r="BF1605" s="21"/>
      <c r="BG1605" s="21"/>
    </row>
    <row r="1606" spans="38:59">
      <c r="AL1606" s="21"/>
      <c r="AM1606" s="24"/>
      <c r="AN1606" s="21"/>
      <c r="AO1606" s="21"/>
      <c r="AP1606" s="64"/>
      <c r="AQ1606" s="64"/>
      <c r="AR1606" s="21"/>
      <c r="AS1606" s="21"/>
      <c r="AT1606" s="21"/>
      <c r="AU1606" s="22"/>
      <c r="AV1606" s="21"/>
      <c r="AW1606" s="21"/>
      <c r="AX1606" s="21"/>
      <c r="AY1606" s="21"/>
      <c r="AZ1606" s="21"/>
      <c r="BA1606" s="21"/>
      <c r="BB1606" s="21"/>
      <c r="BC1606" s="21"/>
      <c r="BD1606" s="21"/>
      <c r="BE1606" s="21"/>
      <c r="BF1606" s="21"/>
      <c r="BG1606" s="21"/>
    </row>
    <row r="1607" spans="38:59">
      <c r="AL1607" s="21"/>
      <c r="AM1607" s="24"/>
      <c r="AN1607" s="21"/>
      <c r="AO1607" s="21"/>
      <c r="AP1607" s="64"/>
      <c r="AQ1607" s="64"/>
      <c r="AR1607" s="21"/>
      <c r="AS1607" s="21"/>
      <c r="AT1607" s="21"/>
      <c r="AU1607" s="22"/>
      <c r="AV1607" s="21"/>
      <c r="AW1607" s="21"/>
      <c r="AX1607" s="21"/>
      <c r="AY1607" s="21"/>
      <c r="AZ1607" s="21"/>
      <c r="BA1607" s="21"/>
      <c r="BB1607" s="21"/>
      <c r="BC1607" s="21"/>
      <c r="BD1607" s="21"/>
      <c r="BE1607" s="21"/>
      <c r="BF1607" s="21"/>
      <c r="BG1607" s="21"/>
    </row>
    <row r="1608" spans="38:59">
      <c r="AL1608" s="21"/>
      <c r="AM1608" s="24"/>
      <c r="AN1608" s="21"/>
      <c r="AO1608" s="21"/>
      <c r="AP1608" s="64"/>
      <c r="AQ1608" s="64"/>
      <c r="AR1608" s="21"/>
      <c r="AS1608" s="21"/>
      <c r="AT1608" s="21"/>
      <c r="AU1608" s="22"/>
      <c r="AV1608" s="21"/>
      <c r="AW1608" s="21"/>
      <c r="AX1608" s="21"/>
      <c r="AY1608" s="21"/>
      <c r="AZ1608" s="21"/>
      <c r="BA1608" s="21"/>
      <c r="BB1608" s="21"/>
      <c r="BC1608" s="21"/>
      <c r="BD1608" s="21"/>
      <c r="BE1608" s="21"/>
      <c r="BF1608" s="21"/>
      <c r="BG1608" s="21"/>
    </row>
    <row r="1609" spans="38:59">
      <c r="AL1609" s="21"/>
      <c r="AM1609" s="24"/>
      <c r="AN1609" s="21"/>
      <c r="AO1609" s="21"/>
      <c r="AP1609" s="64"/>
      <c r="AQ1609" s="64"/>
      <c r="AR1609" s="21"/>
      <c r="AS1609" s="21"/>
      <c r="AT1609" s="21"/>
      <c r="AU1609" s="22"/>
      <c r="AV1609" s="21"/>
      <c r="AW1609" s="21"/>
      <c r="AX1609" s="21"/>
      <c r="AY1609" s="21"/>
      <c r="AZ1609" s="21"/>
      <c r="BA1609" s="21"/>
      <c r="BB1609" s="21"/>
      <c r="BC1609" s="21"/>
      <c r="BD1609" s="21"/>
      <c r="BE1609" s="21"/>
      <c r="BF1609" s="21"/>
      <c r="BG1609" s="21"/>
    </row>
    <row r="1610" spans="38:59">
      <c r="AL1610" s="21"/>
      <c r="AM1610" s="24"/>
      <c r="AN1610" s="21"/>
      <c r="AO1610" s="21"/>
      <c r="AP1610" s="64"/>
      <c r="AQ1610" s="64"/>
      <c r="AR1610" s="21"/>
      <c r="AS1610" s="21"/>
      <c r="AT1610" s="21"/>
      <c r="AU1610" s="22"/>
      <c r="AV1610" s="21"/>
      <c r="AW1610" s="21"/>
      <c r="AX1610" s="21"/>
      <c r="AY1610" s="21"/>
      <c r="AZ1610" s="21"/>
      <c r="BA1610" s="21"/>
      <c r="BB1610" s="21"/>
      <c r="BC1610" s="21"/>
      <c r="BD1610" s="21"/>
      <c r="BE1610" s="21"/>
      <c r="BF1610" s="21"/>
      <c r="BG1610" s="21"/>
    </row>
    <row r="1611" spans="38:59">
      <c r="AL1611" s="21"/>
      <c r="AM1611" s="24"/>
      <c r="AN1611" s="21"/>
      <c r="AO1611" s="21"/>
      <c r="AP1611" s="64"/>
      <c r="AQ1611" s="64"/>
      <c r="AR1611" s="21"/>
      <c r="AS1611" s="21"/>
      <c r="AT1611" s="21"/>
      <c r="AU1611" s="22"/>
      <c r="AV1611" s="21"/>
      <c r="AW1611" s="21"/>
      <c r="AX1611" s="21"/>
      <c r="AY1611" s="21"/>
      <c r="AZ1611" s="21"/>
      <c r="BA1611" s="21"/>
      <c r="BB1611" s="21"/>
      <c r="BC1611" s="21"/>
      <c r="BD1611" s="21"/>
      <c r="BE1611" s="21"/>
      <c r="BF1611" s="21"/>
      <c r="BG1611" s="21"/>
    </row>
    <row r="1612" spans="38:59">
      <c r="AL1612" s="21"/>
      <c r="AM1612" s="24"/>
      <c r="AN1612" s="21"/>
      <c r="AO1612" s="21"/>
      <c r="AP1612" s="64"/>
      <c r="AQ1612" s="64"/>
      <c r="AR1612" s="21"/>
      <c r="AS1612" s="21"/>
      <c r="AT1612" s="21"/>
      <c r="AU1612" s="22"/>
      <c r="AV1612" s="21"/>
      <c r="AW1612" s="21"/>
      <c r="AX1612" s="21"/>
      <c r="AY1612" s="21"/>
      <c r="AZ1612" s="21"/>
      <c r="BA1612" s="21"/>
      <c r="BB1612" s="21"/>
      <c r="BC1612" s="21"/>
      <c r="BD1612" s="21"/>
      <c r="BE1612" s="21"/>
      <c r="BF1612" s="21"/>
      <c r="BG1612" s="21"/>
    </row>
    <row r="1613" spans="38:59">
      <c r="AL1613" s="21"/>
      <c r="AM1613" s="24"/>
      <c r="AN1613" s="21"/>
      <c r="AO1613" s="21"/>
      <c r="AP1613" s="64"/>
      <c r="AQ1613" s="64"/>
      <c r="AR1613" s="21"/>
      <c r="AS1613" s="21"/>
      <c r="AT1613" s="21"/>
      <c r="AU1613" s="22"/>
      <c r="AV1613" s="21"/>
      <c r="AW1613" s="21"/>
      <c r="AX1613" s="21"/>
      <c r="AY1613" s="21"/>
      <c r="AZ1613" s="21"/>
      <c r="BA1613" s="21"/>
      <c r="BB1613" s="21"/>
      <c r="BC1613" s="21"/>
      <c r="BD1613" s="21"/>
      <c r="BE1613" s="21"/>
      <c r="BF1613" s="21"/>
      <c r="BG1613" s="21"/>
    </row>
    <row r="1614" spans="38:59">
      <c r="AL1614" s="21"/>
      <c r="AM1614" s="24"/>
      <c r="AN1614" s="21"/>
      <c r="AO1614" s="21"/>
      <c r="AP1614" s="64"/>
      <c r="AQ1614" s="64"/>
      <c r="AR1614" s="21"/>
      <c r="AS1614" s="21"/>
      <c r="AT1614" s="21"/>
      <c r="AU1614" s="22"/>
      <c r="AV1614" s="21"/>
      <c r="AW1614" s="21"/>
      <c r="AX1614" s="21"/>
      <c r="AY1614" s="21"/>
      <c r="AZ1614" s="21"/>
      <c r="BA1614" s="21"/>
      <c r="BB1614" s="21"/>
      <c r="BC1614" s="21"/>
      <c r="BD1614" s="21"/>
      <c r="BE1614" s="21"/>
      <c r="BF1614" s="21"/>
      <c r="BG1614" s="21"/>
    </row>
    <row r="1615" spans="38:59">
      <c r="AL1615" s="21"/>
      <c r="AM1615" s="24"/>
      <c r="AN1615" s="21"/>
      <c r="AO1615" s="21"/>
      <c r="AP1615" s="64"/>
      <c r="AQ1615" s="64"/>
      <c r="AR1615" s="21"/>
      <c r="AS1615" s="21"/>
      <c r="AT1615" s="21"/>
      <c r="AU1615" s="22"/>
      <c r="AV1615" s="21"/>
      <c r="AW1615" s="21"/>
      <c r="AX1615" s="21"/>
      <c r="AY1615" s="21"/>
      <c r="AZ1615" s="21"/>
      <c r="BA1615" s="21"/>
      <c r="BB1615" s="21"/>
      <c r="BC1615" s="21"/>
      <c r="BD1615" s="21"/>
      <c r="BE1615" s="21"/>
      <c r="BF1615" s="21"/>
      <c r="BG1615" s="21"/>
    </row>
    <row r="1616" spans="38:59">
      <c r="AL1616" s="21"/>
      <c r="AM1616" s="24"/>
      <c r="AN1616" s="21"/>
      <c r="AO1616" s="21"/>
      <c r="AP1616" s="64"/>
      <c r="AQ1616" s="64"/>
      <c r="AR1616" s="21"/>
      <c r="AS1616" s="21"/>
      <c r="AT1616" s="21"/>
      <c r="AU1616" s="22"/>
      <c r="AV1616" s="21"/>
      <c r="AW1616" s="21"/>
      <c r="AX1616" s="21"/>
      <c r="AY1616" s="21"/>
      <c r="AZ1616" s="21"/>
      <c r="BA1616" s="21"/>
      <c r="BB1616" s="21"/>
      <c r="BC1616" s="21"/>
      <c r="BD1616" s="21"/>
      <c r="BE1616" s="21"/>
      <c r="BF1616" s="21"/>
      <c r="BG1616" s="21"/>
    </row>
    <row r="1617" spans="38:59">
      <c r="AL1617" s="21"/>
      <c r="AM1617" s="24"/>
      <c r="AN1617" s="21"/>
      <c r="AO1617" s="21"/>
      <c r="AP1617" s="64"/>
      <c r="AQ1617" s="64"/>
      <c r="AR1617" s="21"/>
      <c r="AS1617" s="21"/>
      <c r="AT1617" s="21"/>
      <c r="AU1617" s="22"/>
      <c r="AV1617" s="21"/>
      <c r="AW1617" s="21"/>
      <c r="AX1617" s="21"/>
      <c r="AY1617" s="21"/>
      <c r="AZ1617" s="21"/>
      <c r="BA1617" s="21"/>
      <c r="BB1617" s="21"/>
      <c r="BC1617" s="21"/>
      <c r="BD1617" s="21"/>
      <c r="BE1617" s="21"/>
      <c r="BF1617" s="21"/>
      <c r="BG1617" s="21"/>
    </row>
    <row r="1618" spans="38:59">
      <c r="AL1618" s="21"/>
      <c r="AM1618" s="24"/>
      <c r="AN1618" s="21"/>
      <c r="AO1618" s="21"/>
      <c r="AP1618" s="64"/>
      <c r="AQ1618" s="64"/>
      <c r="AR1618" s="21"/>
      <c r="AS1618" s="21"/>
      <c r="AT1618" s="21"/>
      <c r="AU1618" s="22"/>
      <c r="AV1618" s="21"/>
      <c r="AW1618" s="21"/>
      <c r="AX1618" s="21"/>
      <c r="AY1618" s="21"/>
      <c r="AZ1618" s="21"/>
      <c r="BA1618" s="21"/>
      <c r="BB1618" s="21"/>
      <c r="BC1618" s="21"/>
      <c r="BD1618" s="21"/>
      <c r="BE1618" s="21"/>
      <c r="BF1618" s="21"/>
      <c r="BG1618" s="21"/>
    </row>
    <row r="1619" spans="38:59">
      <c r="AL1619" s="21"/>
      <c r="AM1619" s="24"/>
      <c r="AN1619" s="21"/>
      <c r="AO1619" s="21"/>
      <c r="AP1619" s="64"/>
      <c r="AQ1619" s="64"/>
      <c r="AR1619" s="21"/>
      <c r="AS1619" s="21"/>
      <c r="AT1619" s="21"/>
      <c r="AU1619" s="22"/>
      <c r="AV1619" s="21"/>
      <c r="AW1619" s="21"/>
      <c r="AX1619" s="21"/>
      <c r="AY1619" s="21"/>
      <c r="AZ1619" s="21"/>
      <c r="BA1619" s="21"/>
      <c r="BB1619" s="21"/>
      <c r="BC1619" s="21"/>
      <c r="BD1619" s="21"/>
      <c r="BE1619" s="21"/>
      <c r="BF1619" s="21"/>
      <c r="BG1619" s="21"/>
    </row>
    <row r="1620" spans="38:59">
      <c r="AL1620" s="21"/>
      <c r="AM1620" s="24"/>
      <c r="AN1620" s="21"/>
      <c r="AO1620" s="21"/>
      <c r="AP1620" s="64"/>
      <c r="AQ1620" s="64"/>
      <c r="AR1620" s="21"/>
      <c r="AS1620" s="21"/>
      <c r="AT1620" s="21"/>
      <c r="AU1620" s="22"/>
      <c r="AV1620" s="21"/>
      <c r="AW1620" s="21"/>
      <c r="AX1620" s="21"/>
      <c r="AY1620" s="21"/>
      <c r="AZ1620" s="21"/>
      <c r="BA1620" s="21"/>
      <c r="BB1620" s="21"/>
      <c r="BC1620" s="21"/>
      <c r="BD1620" s="21"/>
      <c r="BE1620" s="21"/>
      <c r="BF1620" s="21"/>
      <c r="BG1620" s="21"/>
    </row>
    <row r="1621" spans="38:59">
      <c r="AL1621" s="21"/>
      <c r="AM1621" s="24"/>
      <c r="AN1621" s="21"/>
      <c r="AO1621" s="21"/>
      <c r="AP1621" s="64"/>
      <c r="AQ1621" s="64"/>
      <c r="AR1621" s="21"/>
      <c r="AS1621" s="21"/>
      <c r="AT1621" s="21"/>
      <c r="AU1621" s="22"/>
      <c r="AV1621" s="21"/>
      <c r="AW1621" s="21"/>
      <c r="AX1621" s="21"/>
      <c r="AY1621" s="21"/>
      <c r="AZ1621" s="21"/>
      <c r="BA1621" s="21"/>
      <c r="BB1621" s="21"/>
      <c r="BC1621" s="21"/>
      <c r="BD1621" s="21"/>
      <c r="BE1621" s="21"/>
      <c r="BF1621" s="21"/>
      <c r="BG1621" s="21"/>
    </row>
    <row r="1622" spans="38:59">
      <c r="AL1622" s="21"/>
      <c r="AM1622" s="24"/>
      <c r="AN1622" s="21"/>
      <c r="AO1622" s="21"/>
      <c r="AP1622" s="64"/>
      <c r="AQ1622" s="64"/>
      <c r="AR1622" s="21"/>
      <c r="AS1622" s="21"/>
      <c r="AT1622" s="21"/>
      <c r="AU1622" s="22"/>
      <c r="AV1622" s="21"/>
      <c r="AW1622" s="21"/>
      <c r="AX1622" s="21"/>
      <c r="AY1622" s="21"/>
      <c r="AZ1622" s="21"/>
      <c r="BA1622" s="21"/>
      <c r="BB1622" s="21"/>
      <c r="BC1622" s="21"/>
      <c r="BD1622" s="21"/>
      <c r="BE1622" s="21"/>
      <c r="BF1622" s="21"/>
      <c r="BG1622" s="21"/>
    </row>
    <row r="1623" spans="38:59">
      <c r="AL1623" s="21"/>
      <c r="AM1623" s="24"/>
      <c r="AN1623" s="21"/>
      <c r="AO1623" s="21"/>
      <c r="AP1623" s="64"/>
      <c r="AQ1623" s="64"/>
      <c r="AR1623" s="21"/>
      <c r="AS1623" s="21"/>
      <c r="AT1623" s="21"/>
      <c r="AU1623" s="22"/>
      <c r="AV1623" s="21"/>
      <c r="AW1623" s="21"/>
      <c r="AX1623" s="21"/>
      <c r="AY1623" s="21"/>
      <c r="AZ1623" s="21"/>
      <c r="BA1623" s="21"/>
      <c r="BB1623" s="21"/>
      <c r="BC1623" s="21"/>
      <c r="BD1623" s="21"/>
      <c r="BE1623" s="21"/>
      <c r="BF1623" s="21"/>
      <c r="BG1623" s="21"/>
    </row>
    <row r="1624" spans="38:59">
      <c r="AL1624" s="21"/>
      <c r="AM1624" s="24"/>
      <c r="AN1624" s="21"/>
      <c r="AO1624" s="21"/>
      <c r="AP1624" s="64"/>
      <c r="AQ1624" s="64"/>
      <c r="AR1624" s="21"/>
      <c r="AS1624" s="21"/>
      <c r="AT1624" s="21"/>
      <c r="AU1624" s="22"/>
      <c r="AV1624" s="21"/>
      <c r="AW1624" s="21"/>
      <c r="AX1624" s="21"/>
      <c r="AY1624" s="21"/>
      <c r="AZ1624" s="21"/>
      <c r="BA1624" s="21"/>
      <c r="BB1624" s="21"/>
      <c r="BC1624" s="21"/>
      <c r="BD1624" s="21"/>
      <c r="BE1624" s="21"/>
      <c r="BF1624" s="21"/>
      <c r="BG1624" s="21"/>
    </row>
    <row r="1625" spans="38:59">
      <c r="AL1625" s="21"/>
      <c r="AM1625" s="24"/>
      <c r="AN1625" s="21"/>
      <c r="AO1625" s="21"/>
      <c r="AP1625" s="64"/>
      <c r="AQ1625" s="64"/>
      <c r="AR1625" s="21"/>
      <c r="AS1625" s="21"/>
      <c r="AT1625" s="21"/>
      <c r="AU1625" s="22"/>
      <c r="AV1625" s="21"/>
      <c r="AW1625" s="21"/>
      <c r="AX1625" s="21"/>
      <c r="AY1625" s="21"/>
      <c r="AZ1625" s="21"/>
      <c r="BA1625" s="21"/>
      <c r="BB1625" s="21"/>
      <c r="BC1625" s="21"/>
      <c r="BD1625" s="21"/>
      <c r="BE1625" s="21"/>
      <c r="BF1625" s="21"/>
      <c r="BG1625" s="21"/>
    </row>
    <row r="1626" spans="38:59">
      <c r="AL1626" s="21"/>
      <c r="AM1626" s="24"/>
      <c r="AN1626" s="21"/>
      <c r="AO1626" s="21"/>
      <c r="AP1626" s="64"/>
      <c r="AQ1626" s="64"/>
      <c r="AR1626" s="21"/>
      <c r="AS1626" s="21"/>
      <c r="AT1626" s="21"/>
      <c r="AU1626" s="22"/>
      <c r="AV1626" s="21"/>
      <c r="AW1626" s="21"/>
      <c r="AX1626" s="21"/>
      <c r="AY1626" s="21"/>
      <c r="AZ1626" s="21"/>
      <c r="BA1626" s="21"/>
      <c r="BB1626" s="21"/>
      <c r="BC1626" s="21"/>
      <c r="BD1626" s="21"/>
      <c r="BE1626" s="21"/>
      <c r="BF1626" s="21"/>
      <c r="BG1626" s="21"/>
    </row>
    <row r="1627" spans="38:59">
      <c r="AL1627" s="21"/>
      <c r="AM1627" s="24"/>
      <c r="AN1627" s="21"/>
      <c r="AO1627" s="21"/>
      <c r="AP1627" s="64"/>
      <c r="AQ1627" s="64"/>
      <c r="AR1627" s="21"/>
      <c r="AS1627" s="21"/>
      <c r="AT1627" s="21"/>
      <c r="AU1627" s="22"/>
      <c r="AV1627" s="21"/>
      <c r="AW1627" s="21"/>
      <c r="AX1627" s="21"/>
      <c r="AY1627" s="21"/>
      <c r="AZ1627" s="21"/>
      <c r="BA1627" s="21"/>
      <c r="BB1627" s="21"/>
      <c r="BC1627" s="21"/>
      <c r="BD1627" s="21"/>
      <c r="BE1627" s="21"/>
      <c r="BF1627" s="21"/>
      <c r="BG1627" s="21"/>
    </row>
    <row r="1628" spans="38:59">
      <c r="AL1628" s="21"/>
      <c r="AM1628" s="24"/>
      <c r="AN1628" s="21"/>
      <c r="AO1628" s="21"/>
      <c r="AP1628" s="64"/>
      <c r="AQ1628" s="64"/>
      <c r="AR1628" s="21"/>
      <c r="AS1628" s="21"/>
      <c r="AT1628" s="21"/>
      <c r="AU1628" s="22"/>
      <c r="AV1628" s="21"/>
      <c r="AW1628" s="21"/>
      <c r="AX1628" s="21"/>
      <c r="AY1628" s="21"/>
      <c r="AZ1628" s="21"/>
      <c r="BA1628" s="21"/>
      <c r="BB1628" s="21"/>
      <c r="BC1628" s="21"/>
      <c r="BD1628" s="21"/>
      <c r="BE1628" s="21"/>
      <c r="BF1628" s="21"/>
      <c r="BG1628" s="21"/>
    </row>
    <row r="1629" spans="38:59">
      <c r="AL1629" s="21"/>
      <c r="AM1629" s="24"/>
      <c r="AN1629" s="21"/>
      <c r="AO1629" s="21"/>
      <c r="AP1629" s="64"/>
      <c r="AQ1629" s="64"/>
      <c r="AR1629" s="21"/>
      <c r="AS1629" s="21"/>
      <c r="AT1629" s="21"/>
      <c r="AU1629" s="22"/>
      <c r="AV1629" s="21"/>
      <c r="AW1629" s="21"/>
      <c r="AX1629" s="21"/>
      <c r="AY1629" s="21"/>
      <c r="AZ1629" s="21"/>
      <c r="BA1629" s="21"/>
      <c r="BB1629" s="21"/>
      <c r="BC1629" s="21"/>
      <c r="BD1629" s="21"/>
      <c r="BE1629" s="21"/>
      <c r="BF1629" s="21"/>
      <c r="BG1629" s="21"/>
    </row>
    <row r="1630" spans="38:59">
      <c r="AL1630" s="21"/>
      <c r="AM1630" s="24"/>
      <c r="AN1630" s="21"/>
      <c r="AO1630" s="21"/>
      <c r="AP1630" s="64"/>
      <c r="AQ1630" s="64"/>
      <c r="AR1630" s="21"/>
      <c r="AS1630" s="21"/>
      <c r="AT1630" s="21"/>
      <c r="AU1630" s="22"/>
      <c r="AV1630" s="21"/>
      <c r="AW1630" s="21"/>
      <c r="AX1630" s="21"/>
      <c r="AY1630" s="21"/>
      <c r="AZ1630" s="21"/>
      <c r="BA1630" s="21"/>
      <c r="BB1630" s="21"/>
      <c r="BC1630" s="21"/>
      <c r="BD1630" s="21"/>
      <c r="BE1630" s="21"/>
      <c r="BF1630" s="21"/>
      <c r="BG1630" s="21"/>
    </row>
    <row r="1631" spans="38:59">
      <c r="AL1631" s="21"/>
      <c r="AM1631" s="24"/>
      <c r="AN1631" s="21"/>
      <c r="AO1631" s="21"/>
      <c r="AP1631" s="64"/>
      <c r="AQ1631" s="64"/>
      <c r="AR1631" s="21"/>
      <c r="AS1631" s="21"/>
      <c r="AT1631" s="21"/>
      <c r="AU1631" s="22"/>
      <c r="AV1631" s="21"/>
      <c r="AW1631" s="21"/>
      <c r="AX1631" s="21"/>
      <c r="AY1631" s="21"/>
      <c r="AZ1631" s="21"/>
      <c r="BA1631" s="21"/>
      <c r="BB1631" s="21"/>
      <c r="BC1631" s="21"/>
      <c r="BD1631" s="21"/>
      <c r="BE1631" s="21"/>
      <c r="BF1631" s="21"/>
      <c r="BG1631" s="21"/>
    </row>
    <row r="1632" spans="38:59">
      <c r="AL1632" s="21"/>
      <c r="AM1632" s="24"/>
      <c r="AN1632" s="21"/>
      <c r="AO1632" s="21"/>
      <c r="AP1632" s="64"/>
      <c r="AQ1632" s="64"/>
      <c r="AR1632" s="21"/>
      <c r="AS1632" s="21"/>
      <c r="AT1632" s="21"/>
      <c r="AU1632" s="22"/>
      <c r="AV1632" s="21"/>
      <c r="AW1632" s="21"/>
      <c r="AX1632" s="21"/>
      <c r="AY1632" s="21"/>
      <c r="AZ1632" s="21"/>
      <c r="BA1632" s="21"/>
      <c r="BB1632" s="21"/>
      <c r="BC1632" s="21"/>
      <c r="BD1632" s="21"/>
      <c r="BE1632" s="21"/>
      <c r="BF1632" s="21"/>
      <c r="BG1632" s="21"/>
    </row>
    <row r="1633" spans="38:59">
      <c r="AL1633" s="21"/>
      <c r="AM1633" s="24"/>
      <c r="AN1633" s="21"/>
      <c r="AO1633" s="21"/>
      <c r="AP1633" s="64"/>
      <c r="AQ1633" s="64"/>
      <c r="AR1633" s="21"/>
      <c r="AS1633" s="21"/>
      <c r="AT1633" s="21"/>
      <c r="AU1633" s="22"/>
      <c r="AV1633" s="21"/>
      <c r="AW1633" s="21"/>
      <c r="AX1633" s="21"/>
      <c r="AY1633" s="21"/>
      <c r="AZ1633" s="21"/>
      <c r="BA1633" s="21"/>
      <c r="BB1633" s="21"/>
      <c r="BC1633" s="21"/>
      <c r="BD1633" s="21"/>
      <c r="BE1633" s="21"/>
      <c r="BF1633" s="21"/>
      <c r="BG1633" s="21"/>
    </row>
    <row r="1634" spans="38:59">
      <c r="AL1634" s="21"/>
      <c r="AM1634" s="24"/>
      <c r="AN1634" s="21"/>
      <c r="AO1634" s="21"/>
      <c r="AP1634" s="64"/>
      <c r="AQ1634" s="64"/>
      <c r="AR1634" s="21"/>
      <c r="AS1634" s="21"/>
      <c r="AT1634" s="21"/>
      <c r="AU1634" s="22"/>
      <c r="AV1634" s="21"/>
      <c r="AW1634" s="21"/>
      <c r="AX1634" s="21"/>
      <c r="AY1634" s="21"/>
      <c r="AZ1634" s="21"/>
      <c r="BA1634" s="21"/>
      <c r="BB1634" s="21"/>
      <c r="BC1634" s="21"/>
      <c r="BD1634" s="21"/>
      <c r="BE1634" s="21"/>
      <c r="BF1634" s="21"/>
      <c r="BG1634" s="21"/>
    </row>
    <row r="1635" spans="38:59">
      <c r="AL1635" s="21"/>
      <c r="AM1635" s="24"/>
      <c r="AN1635" s="21"/>
      <c r="AO1635" s="21"/>
      <c r="AP1635" s="64"/>
      <c r="AQ1635" s="64"/>
      <c r="AR1635" s="21"/>
      <c r="AS1635" s="21"/>
      <c r="AT1635" s="21"/>
      <c r="AU1635" s="22"/>
      <c r="AV1635" s="21"/>
      <c r="AW1635" s="21"/>
      <c r="AX1635" s="21"/>
      <c r="AY1635" s="21"/>
      <c r="AZ1635" s="21"/>
      <c r="BA1635" s="21"/>
      <c r="BB1635" s="21"/>
      <c r="BC1635" s="21"/>
      <c r="BD1635" s="21"/>
      <c r="BE1635" s="21"/>
      <c r="BF1635" s="21"/>
      <c r="BG1635" s="21"/>
    </row>
    <row r="1636" spans="38:59">
      <c r="AL1636" s="21"/>
      <c r="AM1636" s="24"/>
      <c r="AN1636" s="21"/>
      <c r="AO1636" s="21"/>
      <c r="AP1636" s="64"/>
      <c r="AQ1636" s="64"/>
      <c r="AR1636" s="21"/>
      <c r="AS1636" s="21"/>
      <c r="AT1636" s="21"/>
      <c r="AU1636" s="22"/>
      <c r="AV1636" s="21"/>
      <c r="AW1636" s="21"/>
      <c r="AX1636" s="21"/>
      <c r="AY1636" s="21"/>
      <c r="AZ1636" s="21"/>
      <c r="BA1636" s="21"/>
      <c r="BB1636" s="21"/>
      <c r="BC1636" s="21"/>
      <c r="BD1636" s="21"/>
      <c r="BE1636" s="21"/>
      <c r="BF1636" s="21"/>
      <c r="BG1636" s="21"/>
    </row>
    <row r="1637" spans="38:59">
      <c r="AL1637" s="21"/>
      <c r="AM1637" s="24"/>
      <c r="AN1637" s="21"/>
      <c r="AO1637" s="21"/>
      <c r="AP1637" s="64"/>
      <c r="AQ1637" s="64"/>
      <c r="AR1637" s="21"/>
      <c r="AS1637" s="21"/>
      <c r="AT1637" s="21"/>
      <c r="AU1637" s="22"/>
      <c r="AV1637" s="21"/>
      <c r="AW1637" s="21"/>
      <c r="AX1637" s="21"/>
      <c r="AY1637" s="21"/>
      <c r="AZ1637" s="21"/>
      <c r="BA1637" s="21"/>
      <c r="BB1637" s="21"/>
      <c r="BC1637" s="21"/>
      <c r="BD1637" s="21"/>
      <c r="BE1637" s="21"/>
      <c r="BF1637" s="21"/>
      <c r="BG1637" s="21"/>
    </row>
    <row r="1638" spans="38:59">
      <c r="AL1638" s="21"/>
      <c r="AM1638" s="24"/>
      <c r="AN1638" s="21"/>
      <c r="AO1638" s="21"/>
      <c r="AP1638" s="64"/>
      <c r="AQ1638" s="64"/>
      <c r="AR1638" s="21"/>
      <c r="AS1638" s="21"/>
      <c r="AT1638" s="21"/>
      <c r="AU1638" s="22"/>
      <c r="AV1638" s="21"/>
      <c r="AW1638" s="21"/>
      <c r="AX1638" s="21"/>
      <c r="AY1638" s="21"/>
      <c r="AZ1638" s="21"/>
      <c r="BA1638" s="21"/>
      <c r="BB1638" s="21"/>
      <c r="BC1638" s="21"/>
      <c r="BD1638" s="21"/>
      <c r="BE1638" s="21"/>
      <c r="BF1638" s="21"/>
      <c r="BG1638" s="21"/>
    </row>
    <row r="1639" spans="38:59">
      <c r="AL1639" s="21"/>
      <c r="AM1639" s="24"/>
      <c r="AN1639" s="21"/>
      <c r="AO1639" s="21"/>
      <c r="AP1639" s="64"/>
      <c r="AQ1639" s="64"/>
      <c r="AR1639" s="21"/>
      <c r="AS1639" s="21"/>
      <c r="AT1639" s="21"/>
      <c r="AU1639" s="22"/>
      <c r="AV1639" s="21"/>
      <c r="AW1639" s="21"/>
      <c r="AX1639" s="21"/>
      <c r="AY1639" s="21"/>
      <c r="AZ1639" s="21"/>
      <c r="BA1639" s="21"/>
      <c r="BB1639" s="21"/>
      <c r="BC1639" s="21"/>
      <c r="BD1639" s="21"/>
      <c r="BE1639" s="21"/>
      <c r="BF1639" s="21"/>
      <c r="BG1639" s="21"/>
    </row>
    <row r="1640" spans="38:59">
      <c r="AL1640" s="21"/>
      <c r="AM1640" s="24"/>
      <c r="AN1640" s="21"/>
      <c r="AO1640" s="21"/>
      <c r="AP1640" s="64"/>
      <c r="AQ1640" s="64"/>
      <c r="AR1640" s="21"/>
      <c r="AS1640" s="21"/>
      <c r="AT1640" s="21"/>
      <c r="AU1640" s="22"/>
      <c r="AV1640" s="21"/>
      <c r="AW1640" s="21"/>
      <c r="AX1640" s="21"/>
      <c r="AY1640" s="21"/>
      <c r="AZ1640" s="21"/>
      <c r="BA1640" s="21"/>
      <c r="BB1640" s="21"/>
      <c r="BC1640" s="21"/>
      <c r="BD1640" s="21"/>
      <c r="BE1640" s="21"/>
      <c r="BF1640" s="21"/>
      <c r="BG1640" s="21"/>
    </row>
    <row r="1641" spans="38:59">
      <c r="AL1641" s="21"/>
      <c r="AM1641" s="24"/>
      <c r="AN1641" s="21"/>
      <c r="AO1641" s="21"/>
      <c r="AP1641" s="64"/>
      <c r="AQ1641" s="64"/>
      <c r="AR1641" s="21"/>
      <c r="AS1641" s="21"/>
      <c r="AT1641" s="21"/>
      <c r="AU1641" s="22"/>
      <c r="AV1641" s="21"/>
      <c r="AW1641" s="21"/>
      <c r="AX1641" s="21"/>
      <c r="AY1641" s="21"/>
      <c r="AZ1641" s="21"/>
      <c r="BA1641" s="21"/>
      <c r="BB1641" s="21"/>
      <c r="BC1641" s="21"/>
      <c r="BD1641" s="21"/>
      <c r="BE1641" s="21"/>
      <c r="BF1641" s="21"/>
      <c r="BG1641" s="21"/>
    </row>
    <row r="1642" spans="38:59">
      <c r="AL1642" s="21"/>
      <c r="AM1642" s="24"/>
      <c r="AN1642" s="21"/>
      <c r="AO1642" s="21"/>
      <c r="AP1642" s="64"/>
      <c r="AQ1642" s="64"/>
      <c r="AR1642" s="21"/>
      <c r="AS1642" s="21"/>
      <c r="AT1642" s="21"/>
      <c r="AU1642" s="22"/>
      <c r="AV1642" s="21"/>
      <c r="AW1642" s="21"/>
      <c r="AX1642" s="21"/>
      <c r="AY1642" s="21"/>
      <c r="AZ1642" s="21"/>
      <c r="BA1642" s="21"/>
      <c r="BB1642" s="21"/>
      <c r="BC1642" s="21"/>
      <c r="BD1642" s="21"/>
      <c r="BE1642" s="21"/>
      <c r="BF1642" s="21"/>
      <c r="BG1642" s="21"/>
    </row>
    <row r="1643" spans="38:59">
      <c r="AL1643" s="21"/>
      <c r="AM1643" s="24"/>
      <c r="AN1643" s="21"/>
      <c r="AO1643" s="21"/>
      <c r="AP1643" s="64"/>
      <c r="AQ1643" s="64"/>
      <c r="AR1643" s="21"/>
      <c r="AS1643" s="21"/>
      <c r="AT1643" s="21"/>
      <c r="AU1643" s="22"/>
      <c r="AV1643" s="21"/>
      <c r="AW1643" s="21"/>
      <c r="AX1643" s="21"/>
      <c r="AY1643" s="21"/>
      <c r="AZ1643" s="21"/>
      <c r="BA1643" s="21"/>
      <c r="BB1643" s="21"/>
      <c r="BC1643" s="21"/>
      <c r="BD1643" s="21"/>
      <c r="BE1643" s="21"/>
      <c r="BF1643" s="21"/>
      <c r="BG1643" s="21"/>
    </row>
    <row r="1644" spans="38:59">
      <c r="AL1644" s="21"/>
      <c r="AM1644" s="24"/>
      <c r="AN1644" s="21"/>
      <c r="AO1644" s="21"/>
      <c r="AP1644" s="64"/>
      <c r="AQ1644" s="64"/>
      <c r="AR1644" s="21"/>
      <c r="AS1644" s="21"/>
      <c r="AT1644" s="21"/>
      <c r="AU1644" s="22"/>
      <c r="AV1644" s="21"/>
      <c r="AW1644" s="21"/>
      <c r="AX1644" s="21"/>
      <c r="AY1644" s="21"/>
      <c r="AZ1644" s="21"/>
      <c r="BA1644" s="21"/>
      <c r="BB1644" s="21"/>
      <c r="BC1644" s="21"/>
      <c r="BD1644" s="21"/>
      <c r="BE1644" s="21"/>
      <c r="BF1644" s="21"/>
      <c r="BG1644" s="21"/>
    </row>
    <row r="1645" spans="38:59">
      <c r="AL1645" s="21"/>
      <c r="AM1645" s="24"/>
      <c r="AN1645" s="21"/>
      <c r="AO1645" s="21"/>
      <c r="AP1645" s="64"/>
      <c r="AQ1645" s="64"/>
      <c r="AR1645" s="21"/>
      <c r="AS1645" s="21"/>
      <c r="AT1645" s="21"/>
      <c r="AU1645" s="22"/>
      <c r="AV1645" s="21"/>
      <c r="AW1645" s="21"/>
      <c r="AX1645" s="21"/>
      <c r="AY1645" s="21"/>
      <c r="AZ1645" s="21"/>
      <c r="BA1645" s="21"/>
      <c r="BB1645" s="21"/>
      <c r="BC1645" s="21"/>
      <c r="BD1645" s="21"/>
      <c r="BE1645" s="21"/>
      <c r="BF1645" s="21"/>
      <c r="BG1645" s="21"/>
    </row>
    <row r="1646" spans="38:59">
      <c r="AL1646" s="21"/>
      <c r="AM1646" s="24"/>
      <c r="AN1646" s="21"/>
      <c r="AO1646" s="21"/>
      <c r="AP1646" s="64"/>
      <c r="AQ1646" s="64"/>
      <c r="AR1646" s="21"/>
      <c r="AS1646" s="21"/>
      <c r="AT1646" s="21"/>
      <c r="AU1646" s="22"/>
      <c r="AV1646" s="21"/>
      <c r="AW1646" s="21"/>
      <c r="AX1646" s="21"/>
      <c r="AY1646" s="21"/>
      <c r="AZ1646" s="21"/>
      <c r="BA1646" s="21"/>
      <c r="BB1646" s="21"/>
      <c r="BC1646" s="21"/>
      <c r="BD1646" s="21"/>
      <c r="BE1646" s="21"/>
      <c r="BF1646" s="21"/>
      <c r="BG1646" s="21"/>
    </row>
    <row r="1647" spans="38:59">
      <c r="AL1647" s="21"/>
      <c r="AM1647" s="24"/>
      <c r="AN1647" s="21"/>
      <c r="AO1647" s="21"/>
      <c r="AP1647" s="64"/>
      <c r="AQ1647" s="64"/>
      <c r="AR1647" s="21"/>
      <c r="AS1647" s="21"/>
      <c r="AT1647" s="21"/>
      <c r="AU1647" s="22"/>
      <c r="AV1647" s="21"/>
      <c r="AW1647" s="21"/>
      <c r="AX1647" s="21"/>
      <c r="AY1647" s="21"/>
      <c r="AZ1647" s="21"/>
      <c r="BA1647" s="21"/>
      <c r="BB1647" s="21"/>
      <c r="BC1647" s="21"/>
      <c r="BD1647" s="21"/>
      <c r="BE1647" s="21"/>
      <c r="BF1647" s="21"/>
      <c r="BG1647" s="21"/>
    </row>
    <row r="1648" spans="38:59">
      <c r="AL1648" s="21"/>
      <c r="AM1648" s="24"/>
      <c r="AN1648" s="21"/>
      <c r="AO1648" s="21"/>
      <c r="AP1648" s="64"/>
      <c r="AQ1648" s="64"/>
      <c r="AR1648" s="21"/>
      <c r="AS1648" s="21"/>
      <c r="AT1648" s="21"/>
      <c r="AU1648" s="22"/>
      <c r="AV1648" s="21"/>
      <c r="AW1648" s="21"/>
      <c r="AX1648" s="21"/>
      <c r="AY1648" s="21"/>
      <c r="AZ1648" s="21"/>
      <c r="BA1648" s="21"/>
      <c r="BB1648" s="21"/>
      <c r="BC1648" s="21"/>
      <c r="BD1648" s="21"/>
      <c r="BE1648" s="21"/>
      <c r="BF1648" s="21"/>
      <c r="BG1648" s="21"/>
    </row>
    <row r="1649" spans="38:59">
      <c r="AL1649" s="21"/>
      <c r="AM1649" s="24"/>
      <c r="AN1649" s="21"/>
      <c r="AO1649" s="21"/>
      <c r="AP1649" s="64"/>
      <c r="AQ1649" s="64"/>
      <c r="AR1649" s="21"/>
      <c r="AS1649" s="21"/>
      <c r="AT1649" s="21"/>
      <c r="AU1649" s="22"/>
      <c r="AV1649" s="21"/>
      <c r="AW1649" s="21"/>
      <c r="AX1649" s="21"/>
      <c r="AY1649" s="21"/>
      <c r="AZ1649" s="21"/>
      <c r="BA1649" s="21"/>
      <c r="BB1649" s="21"/>
      <c r="BC1649" s="21"/>
      <c r="BD1649" s="21"/>
      <c r="BE1649" s="21"/>
      <c r="BF1649" s="21"/>
      <c r="BG1649" s="21"/>
    </row>
    <row r="1650" spans="38:59">
      <c r="AL1650" s="21"/>
      <c r="AM1650" s="24"/>
      <c r="AN1650" s="21"/>
      <c r="AO1650" s="21"/>
      <c r="AP1650" s="64"/>
      <c r="AQ1650" s="64"/>
      <c r="AR1650" s="21"/>
      <c r="AS1650" s="21"/>
      <c r="AT1650" s="21"/>
      <c r="AU1650" s="22"/>
      <c r="AV1650" s="21"/>
      <c r="AW1650" s="21"/>
      <c r="AX1650" s="21"/>
      <c r="AY1650" s="21"/>
      <c r="AZ1650" s="21"/>
      <c r="BA1650" s="21"/>
      <c r="BB1650" s="21"/>
      <c r="BC1650" s="21"/>
      <c r="BD1650" s="21"/>
      <c r="BE1650" s="21"/>
      <c r="BF1650" s="21"/>
      <c r="BG1650" s="21"/>
    </row>
    <row r="1651" spans="38:59">
      <c r="AL1651" s="21"/>
      <c r="AM1651" s="24"/>
      <c r="AN1651" s="21"/>
      <c r="AO1651" s="21"/>
      <c r="AP1651" s="64"/>
      <c r="AQ1651" s="64"/>
      <c r="AR1651" s="21"/>
      <c r="AS1651" s="21"/>
      <c r="AT1651" s="21"/>
      <c r="AU1651" s="22"/>
      <c r="AV1651" s="21"/>
      <c r="AW1651" s="21"/>
      <c r="AX1651" s="21"/>
      <c r="AY1651" s="21"/>
      <c r="AZ1651" s="21"/>
      <c r="BA1651" s="21"/>
      <c r="BB1651" s="21"/>
      <c r="BC1651" s="21"/>
      <c r="BD1651" s="21"/>
      <c r="BE1651" s="21"/>
      <c r="BF1651" s="21"/>
      <c r="BG1651" s="21"/>
    </row>
    <row r="1652" spans="38:59">
      <c r="AL1652" s="21"/>
      <c r="AM1652" s="24"/>
      <c r="AN1652" s="21"/>
      <c r="AO1652" s="21"/>
      <c r="AP1652" s="64"/>
      <c r="AQ1652" s="64"/>
      <c r="AR1652" s="21"/>
      <c r="AS1652" s="21"/>
      <c r="AT1652" s="21"/>
      <c r="AU1652" s="22"/>
      <c r="AV1652" s="21"/>
      <c r="AW1652" s="21"/>
      <c r="AX1652" s="21"/>
      <c r="AY1652" s="21"/>
      <c r="AZ1652" s="21"/>
      <c r="BA1652" s="21"/>
      <c r="BB1652" s="21"/>
      <c r="BC1652" s="21"/>
      <c r="BD1652" s="21"/>
      <c r="BE1652" s="21"/>
      <c r="BF1652" s="21"/>
      <c r="BG1652" s="21"/>
    </row>
    <row r="1653" spans="38:59">
      <c r="AL1653" s="21"/>
      <c r="AM1653" s="24"/>
      <c r="AN1653" s="21"/>
      <c r="AO1653" s="21"/>
      <c r="AP1653" s="64"/>
      <c r="AQ1653" s="64"/>
      <c r="AR1653" s="21"/>
      <c r="AS1653" s="21"/>
      <c r="AT1653" s="21"/>
      <c r="AU1653" s="22"/>
      <c r="AV1653" s="21"/>
      <c r="AW1653" s="21"/>
      <c r="AX1653" s="21"/>
      <c r="AY1653" s="21"/>
      <c r="AZ1653" s="21"/>
      <c r="BA1653" s="21"/>
      <c r="BB1653" s="21"/>
      <c r="BC1653" s="21"/>
      <c r="BD1653" s="21"/>
      <c r="BE1653" s="21"/>
      <c r="BF1653" s="21"/>
      <c r="BG1653" s="21"/>
    </row>
    <row r="1654" spans="38:59">
      <c r="AL1654" s="21"/>
      <c r="AM1654" s="24"/>
      <c r="AN1654" s="21"/>
      <c r="AO1654" s="21"/>
      <c r="AP1654" s="64"/>
      <c r="AQ1654" s="64"/>
      <c r="AR1654" s="21"/>
      <c r="AS1654" s="21"/>
      <c r="AT1654" s="21"/>
      <c r="AU1654" s="22"/>
      <c r="AV1654" s="21"/>
      <c r="AW1654" s="21"/>
      <c r="AX1654" s="21"/>
      <c r="AY1654" s="21"/>
      <c r="AZ1654" s="21"/>
      <c r="BA1654" s="21"/>
      <c r="BB1654" s="21"/>
      <c r="BC1654" s="21"/>
      <c r="BD1654" s="21"/>
      <c r="BE1654" s="21"/>
      <c r="BF1654" s="21"/>
      <c r="BG1654" s="21"/>
    </row>
    <row r="1655" spans="38:59">
      <c r="AL1655" s="21"/>
      <c r="AM1655" s="24"/>
      <c r="AN1655" s="21"/>
      <c r="AO1655" s="21"/>
      <c r="AP1655" s="64"/>
      <c r="AQ1655" s="64"/>
      <c r="AR1655" s="21"/>
      <c r="AS1655" s="21"/>
      <c r="AT1655" s="21"/>
      <c r="AU1655" s="22"/>
      <c r="AV1655" s="21"/>
      <c r="AW1655" s="21"/>
      <c r="AX1655" s="21"/>
      <c r="AY1655" s="21"/>
      <c r="AZ1655" s="21"/>
      <c r="BA1655" s="21"/>
      <c r="BB1655" s="21"/>
      <c r="BC1655" s="21"/>
      <c r="BD1655" s="21"/>
      <c r="BE1655" s="21"/>
      <c r="BF1655" s="21"/>
      <c r="BG1655" s="21"/>
    </row>
    <row r="1656" spans="38:59">
      <c r="AL1656" s="21"/>
      <c r="AM1656" s="24"/>
      <c r="AN1656" s="21"/>
      <c r="AO1656" s="21"/>
      <c r="AP1656" s="64"/>
      <c r="AQ1656" s="64"/>
      <c r="AR1656" s="21"/>
      <c r="AS1656" s="21"/>
      <c r="AT1656" s="21"/>
      <c r="AU1656" s="22"/>
      <c r="AV1656" s="21"/>
      <c r="AW1656" s="21"/>
      <c r="AX1656" s="21"/>
      <c r="AY1656" s="21"/>
      <c r="AZ1656" s="21"/>
      <c r="BA1656" s="21"/>
      <c r="BB1656" s="21"/>
      <c r="BC1656" s="21"/>
      <c r="BD1656" s="21"/>
      <c r="BE1656" s="21"/>
      <c r="BF1656" s="21"/>
      <c r="BG1656" s="21"/>
    </row>
    <row r="1657" spans="38:59">
      <c r="AL1657" s="21"/>
      <c r="AM1657" s="24"/>
      <c r="AN1657" s="21"/>
      <c r="AO1657" s="21"/>
      <c r="AP1657" s="64"/>
      <c r="AQ1657" s="64"/>
      <c r="AR1657" s="21"/>
      <c r="AS1657" s="21"/>
      <c r="AT1657" s="21"/>
      <c r="AU1657" s="22"/>
      <c r="AV1657" s="21"/>
      <c r="AW1657" s="21"/>
      <c r="AX1657" s="21"/>
      <c r="AY1657" s="21"/>
      <c r="AZ1657" s="21"/>
      <c r="BA1657" s="21"/>
      <c r="BB1657" s="21"/>
      <c r="BC1657" s="21"/>
      <c r="BD1657" s="21"/>
      <c r="BE1657" s="21"/>
      <c r="BF1657" s="21"/>
      <c r="BG1657" s="21"/>
    </row>
    <row r="1658" spans="38:59">
      <c r="AL1658" s="21"/>
      <c r="AM1658" s="24"/>
      <c r="AN1658" s="21"/>
      <c r="AO1658" s="21"/>
      <c r="AP1658" s="64"/>
      <c r="AQ1658" s="64"/>
      <c r="AR1658" s="21"/>
      <c r="AS1658" s="21"/>
      <c r="AT1658" s="21"/>
      <c r="AU1658" s="22"/>
      <c r="AV1658" s="21"/>
      <c r="AW1658" s="21"/>
      <c r="AX1658" s="21"/>
      <c r="AY1658" s="21"/>
      <c r="AZ1658" s="21"/>
      <c r="BA1658" s="21"/>
      <c r="BB1658" s="21"/>
      <c r="BC1658" s="21"/>
      <c r="BD1658" s="21"/>
      <c r="BE1658" s="21"/>
      <c r="BF1658" s="21"/>
      <c r="BG1658" s="21"/>
    </row>
    <row r="1659" spans="38:59">
      <c r="AL1659" s="21"/>
      <c r="AM1659" s="24"/>
      <c r="AN1659" s="21"/>
      <c r="AO1659" s="21"/>
      <c r="AP1659" s="64"/>
      <c r="AQ1659" s="64"/>
      <c r="AR1659" s="21"/>
      <c r="AS1659" s="21"/>
      <c r="AT1659" s="21"/>
      <c r="AU1659" s="22"/>
      <c r="AV1659" s="21"/>
      <c r="AW1659" s="21"/>
      <c r="AX1659" s="21"/>
      <c r="AY1659" s="21"/>
      <c r="AZ1659" s="21"/>
      <c r="BA1659" s="21"/>
      <c r="BB1659" s="21"/>
      <c r="BC1659" s="21"/>
      <c r="BD1659" s="21"/>
      <c r="BE1659" s="21"/>
      <c r="BF1659" s="21"/>
      <c r="BG1659" s="21"/>
    </row>
    <row r="1660" spans="38:59">
      <c r="AL1660" s="21"/>
      <c r="AM1660" s="24"/>
      <c r="AN1660" s="21"/>
      <c r="AO1660" s="21"/>
      <c r="AP1660" s="64"/>
      <c r="AQ1660" s="64"/>
      <c r="AR1660" s="21"/>
      <c r="AS1660" s="21"/>
      <c r="AT1660" s="21"/>
      <c r="AU1660" s="22"/>
      <c r="AV1660" s="21"/>
      <c r="AW1660" s="21"/>
      <c r="AX1660" s="21"/>
      <c r="AY1660" s="21"/>
      <c r="AZ1660" s="21"/>
      <c r="BA1660" s="21"/>
      <c r="BB1660" s="21"/>
      <c r="BC1660" s="21"/>
      <c r="BD1660" s="21"/>
      <c r="BE1660" s="21"/>
      <c r="BF1660" s="21"/>
      <c r="BG1660" s="21"/>
    </row>
    <row r="1661" spans="38:59">
      <c r="AL1661" s="21"/>
      <c r="AM1661" s="24"/>
      <c r="AN1661" s="21"/>
      <c r="AO1661" s="21"/>
      <c r="AP1661" s="64"/>
      <c r="AQ1661" s="64"/>
      <c r="AR1661" s="21"/>
      <c r="AS1661" s="21"/>
      <c r="AT1661" s="21"/>
      <c r="AU1661" s="22"/>
      <c r="AV1661" s="21"/>
      <c r="AW1661" s="21"/>
      <c r="AX1661" s="21"/>
      <c r="AY1661" s="21"/>
      <c r="AZ1661" s="21"/>
      <c r="BA1661" s="21"/>
      <c r="BB1661" s="21"/>
      <c r="BC1661" s="21"/>
      <c r="BD1661" s="21"/>
      <c r="BE1661" s="21"/>
      <c r="BF1661" s="21"/>
      <c r="BG1661" s="21"/>
    </row>
    <row r="1662" spans="38:59">
      <c r="AL1662" s="21"/>
      <c r="AM1662" s="24"/>
      <c r="AN1662" s="21"/>
      <c r="AO1662" s="21"/>
      <c r="AP1662" s="64"/>
      <c r="AQ1662" s="64"/>
      <c r="AR1662" s="21"/>
      <c r="AS1662" s="21"/>
      <c r="AT1662" s="21"/>
      <c r="AU1662" s="22"/>
      <c r="AV1662" s="21"/>
      <c r="AW1662" s="21"/>
      <c r="AX1662" s="21"/>
      <c r="AY1662" s="21"/>
      <c r="AZ1662" s="21"/>
      <c r="BA1662" s="21"/>
      <c r="BB1662" s="21"/>
      <c r="BC1662" s="21"/>
      <c r="BD1662" s="21"/>
      <c r="BE1662" s="21"/>
      <c r="BF1662" s="21"/>
      <c r="BG1662" s="21"/>
    </row>
    <row r="1663" spans="38:59">
      <c r="AL1663" s="21"/>
      <c r="AM1663" s="24"/>
      <c r="AN1663" s="21"/>
      <c r="AO1663" s="21"/>
      <c r="AP1663" s="64"/>
      <c r="AQ1663" s="64"/>
      <c r="AR1663" s="21"/>
      <c r="AS1663" s="21"/>
      <c r="AT1663" s="21"/>
      <c r="AU1663" s="22"/>
      <c r="AV1663" s="21"/>
      <c r="AW1663" s="21"/>
      <c r="AX1663" s="21"/>
      <c r="AY1663" s="21"/>
      <c r="AZ1663" s="21"/>
      <c r="BA1663" s="21"/>
      <c r="BB1663" s="21"/>
      <c r="BC1663" s="21"/>
      <c r="BD1663" s="21"/>
      <c r="BE1663" s="21"/>
      <c r="BF1663" s="21"/>
      <c r="BG1663" s="21"/>
    </row>
    <row r="1664" spans="38:59">
      <c r="AL1664" s="21"/>
      <c r="AM1664" s="24"/>
      <c r="AN1664" s="21"/>
      <c r="AO1664" s="21"/>
      <c r="AP1664" s="64"/>
      <c r="AQ1664" s="64"/>
      <c r="AR1664" s="21"/>
      <c r="AS1664" s="21"/>
      <c r="AT1664" s="21"/>
      <c r="AU1664" s="22"/>
      <c r="AV1664" s="21"/>
      <c r="AW1664" s="21"/>
      <c r="AX1664" s="21"/>
      <c r="AY1664" s="21"/>
      <c r="AZ1664" s="21"/>
      <c r="BA1664" s="21"/>
      <c r="BB1664" s="21"/>
      <c r="BC1664" s="21"/>
      <c r="BD1664" s="21"/>
      <c r="BE1664" s="21"/>
      <c r="BF1664" s="21"/>
      <c r="BG1664" s="21"/>
    </row>
    <row r="1665" spans="38:59">
      <c r="AL1665" s="21"/>
      <c r="AM1665" s="24"/>
      <c r="AN1665" s="21"/>
      <c r="AO1665" s="21"/>
      <c r="AP1665" s="64"/>
      <c r="AQ1665" s="64"/>
      <c r="AR1665" s="21"/>
      <c r="AS1665" s="21"/>
      <c r="AT1665" s="21"/>
      <c r="AU1665" s="22"/>
      <c r="AV1665" s="21"/>
      <c r="AW1665" s="21"/>
      <c r="AX1665" s="21"/>
      <c r="AY1665" s="21"/>
      <c r="AZ1665" s="21"/>
      <c r="BA1665" s="21"/>
      <c r="BB1665" s="21"/>
      <c r="BC1665" s="21"/>
      <c r="BD1665" s="21"/>
      <c r="BE1665" s="21"/>
      <c r="BF1665" s="21"/>
      <c r="BG1665" s="21"/>
    </row>
    <row r="1666" spans="38:59">
      <c r="AL1666" s="21"/>
      <c r="AM1666" s="24"/>
      <c r="AN1666" s="21"/>
      <c r="AO1666" s="21"/>
      <c r="AP1666" s="64"/>
      <c r="AQ1666" s="64"/>
      <c r="AR1666" s="21"/>
      <c r="AS1666" s="21"/>
      <c r="AT1666" s="21"/>
      <c r="AU1666" s="22"/>
      <c r="AV1666" s="21"/>
      <c r="AW1666" s="21"/>
      <c r="AX1666" s="21"/>
      <c r="AY1666" s="21"/>
      <c r="AZ1666" s="21"/>
      <c r="BA1666" s="21"/>
      <c r="BB1666" s="21"/>
      <c r="BC1666" s="21"/>
      <c r="BD1666" s="21"/>
      <c r="BE1666" s="21"/>
      <c r="BF1666" s="21"/>
      <c r="BG1666" s="21"/>
    </row>
    <row r="1667" spans="38:59">
      <c r="AL1667" s="21"/>
      <c r="AM1667" s="24"/>
      <c r="AN1667" s="21"/>
      <c r="AO1667" s="21"/>
      <c r="AP1667" s="64"/>
      <c r="AQ1667" s="64"/>
      <c r="AR1667" s="21"/>
      <c r="AS1667" s="21"/>
      <c r="AT1667" s="21"/>
      <c r="AU1667" s="22"/>
      <c r="AV1667" s="21"/>
      <c r="AW1667" s="21"/>
      <c r="AX1667" s="21"/>
      <c r="AY1667" s="21"/>
      <c r="AZ1667" s="21"/>
      <c r="BA1667" s="21"/>
      <c r="BB1667" s="21"/>
      <c r="BC1667" s="21"/>
      <c r="BD1667" s="21"/>
      <c r="BE1667" s="21"/>
      <c r="BF1667" s="21"/>
      <c r="BG1667" s="21"/>
    </row>
    <row r="1668" spans="38:59">
      <c r="AL1668" s="21"/>
      <c r="AM1668" s="24"/>
      <c r="AN1668" s="21"/>
      <c r="AO1668" s="21"/>
      <c r="AP1668" s="64"/>
      <c r="AQ1668" s="64"/>
      <c r="AR1668" s="21"/>
      <c r="AS1668" s="21"/>
      <c r="AT1668" s="21"/>
      <c r="AU1668" s="22"/>
      <c r="AV1668" s="21"/>
      <c r="AW1668" s="21"/>
      <c r="AX1668" s="21"/>
      <c r="AY1668" s="21"/>
      <c r="AZ1668" s="21"/>
      <c r="BA1668" s="21"/>
      <c r="BB1668" s="21"/>
      <c r="BC1668" s="21"/>
      <c r="BD1668" s="21"/>
      <c r="BE1668" s="21"/>
      <c r="BF1668" s="21"/>
      <c r="BG1668" s="21"/>
    </row>
    <row r="1669" spans="38:59">
      <c r="AL1669" s="21"/>
      <c r="AM1669" s="24"/>
      <c r="AN1669" s="21"/>
      <c r="AO1669" s="21"/>
      <c r="AP1669" s="64"/>
      <c r="AQ1669" s="64"/>
      <c r="AR1669" s="21"/>
      <c r="AS1669" s="21"/>
      <c r="AT1669" s="21"/>
      <c r="AU1669" s="22"/>
      <c r="AV1669" s="21"/>
      <c r="AW1669" s="21"/>
      <c r="AX1669" s="21"/>
      <c r="AY1669" s="21"/>
      <c r="AZ1669" s="21"/>
      <c r="BA1669" s="21"/>
      <c r="BB1669" s="21"/>
      <c r="BC1669" s="21"/>
      <c r="BD1669" s="21"/>
      <c r="BE1669" s="21"/>
      <c r="BF1669" s="21"/>
      <c r="BG1669" s="21"/>
    </row>
    <row r="1670" spans="38:59">
      <c r="AL1670" s="21"/>
      <c r="AM1670" s="24"/>
      <c r="AN1670" s="21"/>
      <c r="AO1670" s="21"/>
      <c r="AP1670" s="64"/>
      <c r="AQ1670" s="64"/>
      <c r="AR1670" s="21"/>
      <c r="AS1670" s="21"/>
      <c r="AT1670" s="21"/>
      <c r="AU1670" s="22"/>
      <c r="AV1670" s="21"/>
      <c r="AW1670" s="21"/>
      <c r="AX1670" s="21"/>
      <c r="AY1670" s="21"/>
      <c r="AZ1670" s="21"/>
      <c r="BA1670" s="21"/>
      <c r="BB1670" s="21"/>
      <c r="BC1670" s="21"/>
      <c r="BD1670" s="21"/>
      <c r="BE1670" s="21"/>
      <c r="BF1670" s="21"/>
      <c r="BG1670" s="21"/>
    </row>
    <row r="1671" spans="38:59">
      <c r="AL1671" s="21"/>
      <c r="AM1671" s="24"/>
      <c r="AN1671" s="21"/>
      <c r="AO1671" s="21"/>
      <c r="AP1671" s="64"/>
      <c r="AQ1671" s="64"/>
      <c r="AR1671" s="21"/>
      <c r="AS1671" s="21"/>
      <c r="AT1671" s="21"/>
      <c r="AU1671" s="22"/>
      <c r="AV1671" s="21"/>
      <c r="AW1671" s="21"/>
      <c r="AX1671" s="21"/>
      <c r="AY1671" s="21"/>
      <c r="AZ1671" s="21"/>
      <c r="BA1671" s="21"/>
      <c r="BB1671" s="21"/>
      <c r="BC1671" s="21"/>
      <c r="BD1671" s="21"/>
      <c r="BE1671" s="21"/>
      <c r="BF1671" s="21"/>
      <c r="BG1671" s="21"/>
    </row>
    <row r="1672" spans="38:59">
      <c r="AL1672" s="21"/>
      <c r="AM1672" s="24"/>
      <c r="AN1672" s="21"/>
      <c r="AO1672" s="21"/>
      <c r="AP1672" s="64"/>
      <c r="AQ1672" s="64"/>
      <c r="AR1672" s="21"/>
      <c r="AS1672" s="21"/>
      <c r="AT1672" s="21"/>
      <c r="AU1672" s="22"/>
      <c r="AV1672" s="21"/>
      <c r="AW1672" s="21"/>
      <c r="AX1672" s="21"/>
      <c r="AY1672" s="21"/>
      <c r="AZ1672" s="21"/>
      <c r="BA1672" s="21"/>
      <c r="BB1672" s="21"/>
      <c r="BC1672" s="21"/>
      <c r="BD1672" s="21"/>
      <c r="BE1672" s="21"/>
      <c r="BF1672" s="21"/>
      <c r="BG1672" s="21"/>
    </row>
    <row r="1673" spans="38:59">
      <c r="AL1673" s="21"/>
      <c r="AM1673" s="24"/>
      <c r="AN1673" s="21"/>
      <c r="AO1673" s="21"/>
      <c r="AP1673" s="64"/>
      <c r="AQ1673" s="64"/>
      <c r="AR1673" s="21"/>
      <c r="AS1673" s="21"/>
      <c r="AT1673" s="21"/>
      <c r="AU1673" s="22"/>
      <c r="AV1673" s="21"/>
      <c r="AW1673" s="21"/>
      <c r="AX1673" s="21"/>
      <c r="AY1673" s="21"/>
      <c r="AZ1673" s="21"/>
      <c r="BA1673" s="21"/>
      <c r="BB1673" s="21"/>
      <c r="BC1673" s="21"/>
      <c r="BD1673" s="21"/>
      <c r="BE1673" s="21"/>
      <c r="BF1673" s="21"/>
      <c r="BG1673" s="21"/>
    </row>
    <row r="1674" spans="38:59">
      <c r="AL1674" s="21"/>
      <c r="AM1674" s="24"/>
      <c r="AN1674" s="21"/>
      <c r="AO1674" s="21"/>
      <c r="AP1674" s="64"/>
      <c r="AQ1674" s="64"/>
      <c r="AR1674" s="21"/>
      <c r="AS1674" s="21"/>
      <c r="AT1674" s="21"/>
      <c r="AU1674" s="22"/>
      <c r="AV1674" s="21"/>
      <c r="AW1674" s="21"/>
      <c r="AX1674" s="21"/>
      <c r="AY1674" s="21"/>
      <c r="AZ1674" s="21"/>
      <c r="BA1674" s="21"/>
      <c r="BB1674" s="21"/>
      <c r="BC1674" s="21"/>
      <c r="BD1674" s="21"/>
      <c r="BE1674" s="21"/>
      <c r="BF1674" s="21"/>
      <c r="BG1674" s="21"/>
    </row>
    <row r="1675" spans="38:59">
      <c r="AL1675" s="21"/>
      <c r="AM1675" s="24"/>
      <c r="AN1675" s="21"/>
      <c r="AO1675" s="21"/>
      <c r="AP1675" s="64"/>
      <c r="AQ1675" s="64"/>
      <c r="AR1675" s="21"/>
      <c r="AS1675" s="21"/>
      <c r="AT1675" s="21"/>
      <c r="AU1675" s="22"/>
      <c r="AV1675" s="21"/>
      <c r="AW1675" s="21"/>
      <c r="AX1675" s="21"/>
      <c r="AY1675" s="21"/>
      <c r="AZ1675" s="21"/>
      <c r="BA1675" s="21"/>
      <c r="BB1675" s="21"/>
      <c r="BC1675" s="21"/>
      <c r="BD1675" s="21"/>
      <c r="BE1675" s="21"/>
      <c r="BF1675" s="21"/>
      <c r="BG1675" s="21"/>
    </row>
    <row r="1676" spans="38:59">
      <c r="AL1676" s="21"/>
      <c r="AM1676" s="24"/>
      <c r="AN1676" s="21"/>
      <c r="AO1676" s="21"/>
      <c r="AP1676" s="64"/>
      <c r="AQ1676" s="64"/>
      <c r="AR1676" s="21"/>
      <c r="AS1676" s="21"/>
      <c r="AT1676" s="21"/>
      <c r="AU1676" s="22"/>
      <c r="AV1676" s="21"/>
      <c r="AW1676" s="21"/>
      <c r="AX1676" s="21"/>
      <c r="AY1676" s="21"/>
      <c r="AZ1676" s="21"/>
      <c r="BA1676" s="21"/>
      <c r="BB1676" s="21"/>
      <c r="BC1676" s="21"/>
      <c r="BD1676" s="21"/>
      <c r="BE1676" s="21"/>
      <c r="BF1676" s="21"/>
      <c r="BG1676" s="21"/>
    </row>
    <row r="1677" spans="38:59">
      <c r="AL1677" s="21"/>
      <c r="AM1677" s="24"/>
      <c r="AN1677" s="21"/>
      <c r="AO1677" s="21"/>
      <c r="AP1677" s="64"/>
      <c r="AQ1677" s="64"/>
      <c r="AR1677" s="21"/>
      <c r="AS1677" s="21"/>
      <c r="AT1677" s="21"/>
      <c r="AU1677" s="22"/>
      <c r="AV1677" s="21"/>
      <c r="AW1677" s="21"/>
      <c r="AX1677" s="21"/>
      <c r="AY1677" s="21"/>
      <c r="AZ1677" s="21"/>
      <c r="BA1677" s="21"/>
      <c r="BB1677" s="21"/>
      <c r="BC1677" s="21"/>
      <c r="BD1677" s="21"/>
      <c r="BE1677" s="21"/>
      <c r="BF1677" s="21"/>
      <c r="BG1677" s="21"/>
    </row>
    <row r="1678" spans="38:59">
      <c r="AL1678" s="21"/>
      <c r="AM1678" s="24"/>
      <c r="AN1678" s="21"/>
      <c r="AO1678" s="21"/>
      <c r="AP1678" s="64"/>
      <c r="AQ1678" s="64"/>
      <c r="AR1678" s="21"/>
      <c r="AS1678" s="21"/>
      <c r="AT1678" s="21"/>
      <c r="AU1678" s="22"/>
      <c r="AV1678" s="21"/>
      <c r="AW1678" s="21"/>
      <c r="AX1678" s="21"/>
      <c r="AY1678" s="21"/>
      <c r="AZ1678" s="21"/>
      <c r="BA1678" s="21"/>
      <c r="BB1678" s="21"/>
      <c r="BC1678" s="21"/>
      <c r="BD1678" s="21"/>
      <c r="BE1678" s="21"/>
      <c r="BF1678" s="21"/>
      <c r="BG1678" s="21"/>
    </row>
    <row r="1679" spans="38:59">
      <c r="AL1679" s="21"/>
      <c r="AM1679" s="24"/>
      <c r="AN1679" s="21"/>
      <c r="AO1679" s="21"/>
      <c r="AP1679" s="64"/>
      <c r="AQ1679" s="64"/>
      <c r="AR1679" s="21"/>
      <c r="AS1679" s="21"/>
      <c r="AT1679" s="21"/>
      <c r="AU1679" s="22"/>
      <c r="AV1679" s="21"/>
      <c r="AW1679" s="21"/>
      <c r="AX1679" s="21"/>
      <c r="AY1679" s="21"/>
      <c r="AZ1679" s="21"/>
      <c r="BA1679" s="21"/>
      <c r="BB1679" s="21"/>
      <c r="BC1679" s="21"/>
      <c r="BD1679" s="21"/>
      <c r="BE1679" s="21"/>
      <c r="BF1679" s="21"/>
      <c r="BG1679" s="21"/>
    </row>
    <row r="1680" spans="38:59">
      <c r="AL1680" s="21"/>
      <c r="AM1680" s="24"/>
      <c r="AN1680" s="21"/>
      <c r="AO1680" s="21"/>
      <c r="AP1680" s="64"/>
      <c r="AQ1680" s="64"/>
      <c r="AR1680" s="21"/>
      <c r="AS1680" s="21"/>
      <c r="AT1680" s="21"/>
      <c r="AU1680" s="22"/>
      <c r="AV1680" s="21"/>
      <c r="AW1680" s="21"/>
      <c r="AX1680" s="21"/>
      <c r="AY1680" s="21"/>
      <c r="AZ1680" s="21"/>
      <c r="BA1680" s="21"/>
      <c r="BB1680" s="21"/>
      <c r="BC1680" s="21"/>
      <c r="BD1680" s="21"/>
      <c r="BE1680" s="21"/>
      <c r="BF1680" s="21"/>
      <c r="BG1680" s="21"/>
    </row>
    <row r="1681" spans="38:59">
      <c r="AL1681" s="21"/>
      <c r="AM1681" s="24"/>
      <c r="AN1681" s="21"/>
      <c r="AO1681" s="21"/>
      <c r="AP1681" s="64"/>
      <c r="AQ1681" s="64"/>
      <c r="AR1681" s="21"/>
      <c r="AS1681" s="21"/>
      <c r="AT1681" s="21"/>
      <c r="AU1681" s="22"/>
      <c r="AV1681" s="21"/>
      <c r="AW1681" s="21"/>
      <c r="AX1681" s="21"/>
      <c r="AY1681" s="21"/>
      <c r="AZ1681" s="21"/>
      <c r="BA1681" s="21"/>
      <c r="BB1681" s="21"/>
      <c r="BC1681" s="21"/>
      <c r="BD1681" s="21"/>
      <c r="BE1681" s="21"/>
      <c r="BF1681" s="21"/>
      <c r="BG1681" s="21"/>
    </row>
    <row r="1682" spans="38:59">
      <c r="AL1682" s="21"/>
      <c r="AM1682" s="24"/>
      <c r="AN1682" s="21"/>
      <c r="AO1682" s="21"/>
      <c r="AP1682" s="64"/>
      <c r="AQ1682" s="64"/>
      <c r="AR1682" s="21"/>
      <c r="AS1682" s="21"/>
      <c r="AT1682" s="21"/>
      <c r="AU1682" s="22"/>
      <c r="AV1682" s="21"/>
      <c r="AW1682" s="21"/>
      <c r="AX1682" s="21"/>
      <c r="AY1682" s="21"/>
      <c r="AZ1682" s="21"/>
      <c r="BA1682" s="21"/>
      <c r="BB1682" s="21"/>
      <c r="BC1682" s="21"/>
      <c r="BD1682" s="21"/>
      <c r="BE1682" s="21"/>
      <c r="BF1682" s="21"/>
      <c r="BG1682" s="21"/>
    </row>
    <row r="1683" spans="38:59">
      <c r="AL1683" s="21"/>
      <c r="AM1683" s="24"/>
      <c r="AN1683" s="21"/>
      <c r="AO1683" s="21"/>
      <c r="AP1683" s="64"/>
      <c r="AQ1683" s="64"/>
      <c r="AR1683" s="21"/>
      <c r="AS1683" s="21"/>
      <c r="AT1683" s="21"/>
      <c r="AU1683" s="22"/>
      <c r="AV1683" s="21"/>
      <c r="AW1683" s="21"/>
      <c r="AX1683" s="21"/>
      <c r="AY1683" s="21"/>
      <c r="AZ1683" s="21"/>
      <c r="BA1683" s="21"/>
      <c r="BB1683" s="21"/>
      <c r="BC1683" s="21"/>
      <c r="BD1683" s="21"/>
      <c r="BE1683" s="21"/>
      <c r="BF1683" s="21"/>
      <c r="BG1683" s="21"/>
    </row>
    <row r="1684" spans="38:59">
      <c r="AL1684" s="21"/>
      <c r="AM1684" s="24"/>
      <c r="AN1684" s="21"/>
      <c r="AO1684" s="21"/>
      <c r="AP1684" s="64"/>
      <c r="AQ1684" s="64"/>
      <c r="AR1684" s="21"/>
      <c r="AS1684" s="21"/>
      <c r="AT1684" s="21"/>
      <c r="AU1684" s="22"/>
      <c r="AV1684" s="21"/>
      <c r="AW1684" s="21"/>
      <c r="AX1684" s="21"/>
      <c r="AY1684" s="21"/>
      <c r="AZ1684" s="21"/>
      <c r="BA1684" s="21"/>
      <c r="BB1684" s="21"/>
      <c r="BC1684" s="21"/>
      <c r="BD1684" s="21"/>
      <c r="BE1684" s="21"/>
      <c r="BF1684" s="21"/>
      <c r="BG1684" s="21"/>
    </row>
    <row r="1685" spans="38:59">
      <c r="AL1685" s="21"/>
      <c r="AM1685" s="24"/>
      <c r="AN1685" s="21"/>
      <c r="AO1685" s="21"/>
      <c r="AP1685" s="64"/>
      <c r="AQ1685" s="64"/>
      <c r="AR1685" s="21"/>
      <c r="AS1685" s="21"/>
      <c r="AT1685" s="21"/>
      <c r="AU1685" s="22"/>
      <c r="AV1685" s="21"/>
      <c r="AW1685" s="21"/>
      <c r="AX1685" s="21"/>
      <c r="AY1685" s="21"/>
      <c r="AZ1685" s="21"/>
      <c r="BA1685" s="21"/>
      <c r="BB1685" s="21"/>
      <c r="BC1685" s="21"/>
      <c r="BD1685" s="21"/>
      <c r="BE1685" s="21"/>
      <c r="BF1685" s="21"/>
      <c r="BG1685" s="21"/>
    </row>
    <row r="1686" spans="38:59">
      <c r="AL1686" s="21"/>
      <c r="AM1686" s="24"/>
      <c r="AN1686" s="21"/>
      <c r="AO1686" s="21"/>
      <c r="AP1686" s="64"/>
      <c r="AQ1686" s="64"/>
      <c r="AR1686" s="21"/>
      <c r="AS1686" s="21"/>
      <c r="AT1686" s="21"/>
      <c r="AU1686" s="22"/>
      <c r="AV1686" s="21"/>
      <c r="AW1686" s="21"/>
      <c r="AX1686" s="21"/>
      <c r="AY1686" s="21"/>
      <c r="AZ1686" s="21"/>
      <c r="BA1686" s="21"/>
      <c r="BB1686" s="21"/>
      <c r="BC1686" s="21"/>
      <c r="BD1686" s="21"/>
      <c r="BE1686" s="21"/>
      <c r="BF1686" s="21"/>
      <c r="BG1686" s="21"/>
    </row>
    <row r="1687" spans="38:59">
      <c r="AL1687" s="21"/>
      <c r="AM1687" s="24"/>
      <c r="AN1687" s="21"/>
      <c r="AO1687" s="21"/>
      <c r="AP1687" s="64"/>
      <c r="AQ1687" s="64"/>
      <c r="AR1687" s="21"/>
      <c r="AS1687" s="21"/>
      <c r="AT1687" s="21"/>
      <c r="AU1687" s="22"/>
      <c r="AV1687" s="21"/>
      <c r="AW1687" s="21"/>
      <c r="AX1687" s="21"/>
      <c r="AY1687" s="21"/>
      <c r="AZ1687" s="21"/>
      <c r="BA1687" s="21"/>
      <c r="BB1687" s="21"/>
      <c r="BC1687" s="21"/>
      <c r="BD1687" s="21"/>
      <c r="BE1687" s="21"/>
      <c r="BF1687" s="21"/>
      <c r="BG1687" s="21"/>
    </row>
    <row r="1688" spans="38:59">
      <c r="AL1688" s="21"/>
      <c r="AM1688" s="24"/>
      <c r="AN1688" s="21"/>
      <c r="AO1688" s="21"/>
      <c r="AP1688" s="64"/>
      <c r="AQ1688" s="64"/>
      <c r="AR1688" s="21"/>
      <c r="AS1688" s="21"/>
      <c r="AT1688" s="21"/>
      <c r="AU1688" s="22"/>
      <c r="AV1688" s="21"/>
      <c r="AW1688" s="21"/>
      <c r="AX1688" s="21"/>
      <c r="AY1688" s="21"/>
      <c r="AZ1688" s="21"/>
      <c r="BA1688" s="21"/>
      <c r="BB1688" s="21"/>
      <c r="BC1688" s="21"/>
      <c r="BD1688" s="21"/>
      <c r="BE1688" s="21"/>
      <c r="BF1688" s="21"/>
      <c r="BG1688" s="21"/>
    </row>
    <row r="1689" spans="38:59">
      <c r="AL1689" s="21"/>
      <c r="AM1689" s="24"/>
      <c r="AN1689" s="21"/>
      <c r="AO1689" s="21"/>
      <c r="AP1689" s="64"/>
      <c r="AQ1689" s="64"/>
      <c r="AR1689" s="21"/>
      <c r="AS1689" s="21"/>
      <c r="AT1689" s="21"/>
      <c r="AU1689" s="22"/>
      <c r="AV1689" s="21"/>
      <c r="AW1689" s="21"/>
      <c r="AX1689" s="21"/>
      <c r="AY1689" s="21"/>
      <c r="AZ1689" s="21"/>
      <c r="BA1689" s="21"/>
      <c r="BB1689" s="21"/>
      <c r="BC1689" s="21"/>
      <c r="BD1689" s="21"/>
      <c r="BE1689" s="21"/>
      <c r="BF1689" s="21"/>
      <c r="BG1689" s="21"/>
    </row>
    <row r="1690" spans="38:59">
      <c r="AL1690" s="21"/>
      <c r="AM1690" s="24"/>
      <c r="AN1690" s="21"/>
      <c r="AO1690" s="21"/>
      <c r="AP1690" s="64"/>
      <c r="AQ1690" s="64"/>
      <c r="AR1690" s="21"/>
      <c r="AS1690" s="21"/>
      <c r="AT1690" s="21"/>
      <c r="AU1690" s="22"/>
      <c r="AV1690" s="21"/>
      <c r="AW1690" s="21"/>
      <c r="AX1690" s="21"/>
      <c r="AY1690" s="21"/>
      <c r="AZ1690" s="21"/>
      <c r="BA1690" s="21"/>
      <c r="BB1690" s="21"/>
      <c r="BC1690" s="21"/>
      <c r="BD1690" s="21"/>
      <c r="BE1690" s="21"/>
      <c r="BF1690" s="21"/>
      <c r="BG1690" s="21"/>
    </row>
    <row r="1691" spans="38:59">
      <c r="AL1691" s="21"/>
      <c r="AM1691" s="24"/>
      <c r="AN1691" s="21"/>
      <c r="AO1691" s="21"/>
      <c r="AP1691" s="64"/>
      <c r="AQ1691" s="64"/>
      <c r="AR1691" s="21"/>
      <c r="AS1691" s="21"/>
      <c r="AT1691" s="21"/>
      <c r="AU1691" s="22"/>
      <c r="AV1691" s="21"/>
      <c r="AW1691" s="21"/>
      <c r="AX1691" s="21"/>
      <c r="AY1691" s="21"/>
      <c r="AZ1691" s="21"/>
      <c r="BA1691" s="21"/>
      <c r="BB1691" s="21"/>
      <c r="BC1691" s="21"/>
      <c r="BD1691" s="21"/>
      <c r="BE1691" s="21"/>
      <c r="BF1691" s="21"/>
      <c r="BG1691" s="21"/>
    </row>
    <row r="1692" spans="38:59">
      <c r="AL1692" s="21"/>
      <c r="AM1692" s="24"/>
      <c r="AN1692" s="21"/>
      <c r="AO1692" s="21"/>
      <c r="AP1692" s="64"/>
      <c r="AQ1692" s="64"/>
      <c r="AR1692" s="21"/>
      <c r="AS1692" s="21"/>
      <c r="AT1692" s="21"/>
      <c r="AU1692" s="22"/>
      <c r="AV1692" s="21"/>
      <c r="AW1692" s="21"/>
      <c r="AX1692" s="21"/>
      <c r="AY1692" s="21"/>
      <c r="AZ1692" s="21"/>
      <c r="BA1692" s="21"/>
      <c r="BB1692" s="21"/>
      <c r="BC1692" s="21"/>
      <c r="BD1692" s="21"/>
      <c r="BE1692" s="21"/>
      <c r="BF1692" s="21"/>
      <c r="BG1692" s="21"/>
    </row>
    <row r="1693" spans="38:59">
      <c r="AL1693" s="21"/>
      <c r="AM1693" s="24"/>
      <c r="AN1693" s="21"/>
      <c r="AO1693" s="21"/>
      <c r="AP1693" s="64"/>
      <c r="AQ1693" s="64"/>
      <c r="AR1693" s="21"/>
      <c r="AS1693" s="21"/>
      <c r="AT1693" s="21"/>
      <c r="AU1693" s="22"/>
      <c r="AV1693" s="21"/>
      <c r="AW1693" s="21"/>
      <c r="AX1693" s="21"/>
      <c r="AY1693" s="21"/>
      <c r="AZ1693" s="21"/>
      <c r="BA1693" s="21"/>
      <c r="BB1693" s="21"/>
      <c r="BC1693" s="21"/>
      <c r="BD1693" s="21"/>
      <c r="BE1693" s="21"/>
      <c r="BF1693" s="21"/>
      <c r="BG1693" s="21"/>
    </row>
    <row r="1694" spans="38:59">
      <c r="AL1694" s="21"/>
      <c r="AM1694" s="24"/>
      <c r="AN1694" s="21"/>
      <c r="AO1694" s="21"/>
      <c r="AP1694" s="64"/>
      <c r="AQ1694" s="64"/>
      <c r="AR1694" s="21"/>
      <c r="AS1694" s="21"/>
      <c r="AT1694" s="21"/>
      <c r="AU1694" s="22"/>
      <c r="AV1694" s="21"/>
      <c r="AW1694" s="21"/>
      <c r="AX1694" s="21"/>
      <c r="AY1694" s="21"/>
      <c r="AZ1694" s="21"/>
      <c r="BA1694" s="21"/>
      <c r="BB1694" s="21"/>
      <c r="BC1694" s="21"/>
      <c r="BD1694" s="21"/>
      <c r="BE1694" s="21"/>
      <c r="BF1694" s="21"/>
      <c r="BG1694" s="21"/>
    </row>
    <row r="1695" spans="38:59">
      <c r="AL1695" s="21"/>
      <c r="AM1695" s="24"/>
      <c r="AN1695" s="21"/>
      <c r="AO1695" s="21"/>
      <c r="AP1695" s="64"/>
      <c r="AQ1695" s="64"/>
      <c r="AR1695" s="21"/>
      <c r="AS1695" s="21"/>
      <c r="AT1695" s="21"/>
      <c r="AU1695" s="22"/>
      <c r="AV1695" s="21"/>
      <c r="AW1695" s="21"/>
      <c r="AX1695" s="21"/>
      <c r="AY1695" s="21"/>
      <c r="AZ1695" s="21"/>
      <c r="BA1695" s="21"/>
      <c r="BB1695" s="21"/>
      <c r="BC1695" s="21"/>
      <c r="BD1695" s="21"/>
      <c r="BE1695" s="21"/>
      <c r="BF1695" s="21"/>
      <c r="BG1695" s="21"/>
    </row>
    <row r="1696" spans="38:59">
      <c r="AL1696" s="21"/>
      <c r="AM1696" s="24"/>
      <c r="AN1696" s="21"/>
      <c r="AO1696" s="21"/>
      <c r="AP1696" s="64"/>
      <c r="AQ1696" s="64"/>
      <c r="AR1696" s="21"/>
      <c r="AS1696" s="21"/>
      <c r="AT1696" s="21"/>
      <c r="AU1696" s="22"/>
      <c r="AV1696" s="21"/>
      <c r="AW1696" s="21"/>
      <c r="AX1696" s="21"/>
      <c r="AY1696" s="21"/>
      <c r="AZ1696" s="21"/>
      <c r="BA1696" s="21"/>
      <c r="BB1696" s="21"/>
      <c r="BC1696" s="21"/>
      <c r="BD1696" s="21"/>
      <c r="BE1696" s="21"/>
      <c r="BF1696" s="21"/>
      <c r="BG1696" s="21"/>
    </row>
    <row r="1697" spans="38:59">
      <c r="AL1697" s="21"/>
      <c r="AM1697" s="24"/>
      <c r="AN1697" s="21"/>
      <c r="AO1697" s="21"/>
      <c r="AP1697" s="64"/>
      <c r="AQ1697" s="64"/>
      <c r="AR1697" s="21"/>
      <c r="AS1697" s="21"/>
      <c r="AT1697" s="21"/>
      <c r="AU1697" s="22"/>
      <c r="AV1697" s="21"/>
      <c r="AW1697" s="21"/>
      <c r="AX1697" s="21"/>
      <c r="AY1697" s="21"/>
      <c r="AZ1697" s="21"/>
      <c r="BA1697" s="21"/>
      <c r="BB1697" s="21"/>
      <c r="BC1697" s="21"/>
      <c r="BD1697" s="21"/>
      <c r="BE1697" s="21"/>
      <c r="BF1697" s="21"/>
      <c r="BG1697" s="21"/>
    </row>
    <row r="1698" spans="38:59">
      <c r="AL1698" s="21"/>
      <c r="AM1698" s="24"/>
      <c r="AN1698" s="21"/>
      <c r="AO1698" s="21"/>
      <c r="AP1698" s="64"/>
      <c r="AQ1698" s="64"/>
      <c r="AR1698" s="21"/>
      <c r="AS1698" s="21"/>
      <c r="AT1698" s="21"/>
      <c r="AU1698" s="22"/>
      <c r="AV1698" s="21"/>
      <c r="AW1698" s="21"/>
      <c r="AX1698" s="21"/>
      <c r="AY1698" s="21"/>
      <c r="AZ1698" s="21"/>
      <c r="BA1698" s="21"/>
      <c r="BB1698" s="21"/>
      <c r="BC1698" s="21"/>
      <c r="BD1698" s="21"/>
      <c r="BE1698" s="21"/>
      <c r="BF1698" s="21"/>
      <c r="BG1698" s="21"/>
    </row>
    <row r="1699" spans="38:59">
      <c r="AL1699" s="21"/>
      <c r="AM1699" s="24"/>
      <c r="AN1699" s="21"/>
      <c r="AO1699" s="21"/>
      <c r="AP1699" s="64"/>
      <c r="AQ1699" s="64"/>
      <c r="AR1699" s="21"/>
      <c r="AS1699" s="21"/>
      <c r="AT1699" s="21"/>
      <c r="AU1699" s="22"/>
      <c r="AV1699" s="21"/>
      <c r="AW1699" s="21"/>
      <c r="AX1699" s="21"/>
      <c r="AY1699" s="21"/>
      <c r="AZ1699" s="21"/>
      <c r="BA1699" s="21"/>
      <c r="BB1699" s="21"/>
      <c r="BC1699" s="21"/>
      <c r="BD1699" s="21"/>
      <c r="BE1699" s="21"/>
      <c r="BF1699" s="21"/>
      <c r="BG1699" s="21"/>
    </row>
    <row r="1700" spans="38:59">
      <c r="AL1700" s="21"/>
      <c r="AM1700" s="24"/>
      <c r="AN1700" s="21"/>
      <c r="AO1700" s="21"/>
      <c r="AP1700" s="64"/>
      <c r="AQ1700" s="64"/>
      <c r="AR1700" s="21"/>
      <c r="AS1700" s="21"/>
      <c r="AT1700" s="21"/>
      <c r="AU1700" s="22"/>
      <c r="AV1700" s="21"/>
      <c r="AW1700" s="21"/>
      <c r="AX1700" s="21"/>
      <c r="AY1700" s="21"/>
      <c r="AZ1700" s="21"/>
      <c r="BA1700" s="21"/>
      <c r="BB1700" s="21"/>
      <c r="BC1700" s="21"/>
      <c r="BD1700" s="21"/>
      <c r="BE1700" s="21"/>
      <c r="BF1700" s="21"/>
      <c r="BG1700" s="21"/>
    </row>
    <row r="1701" spans="38:59">
      <c r="AL1701" s="21"/>
      <c r="AM1701" s="24"/>
      <c r="AN1701" s="21"/>
      <c r="AO1701" s="21"/>
      <c r="AP1701" s="64"/>
      <c r="AQ1701" s="64"/>
      <c r="AR1701" s="21"/>
      <c r="AS1701" s="21"/>
      <c r="AT1701" s="21"/>
      <c r="AU1701" s="22"/>
      <c r="AV1701" s="21"/>
      <c r="AW1701" s="21"/>
      <c r="AX1701" s="21"/>
      <c r="AY1701" s="21"/>
      <c r="AZ1701" s="21"/>
      <c r="BA1701" s="21"/>
      <c r="BB1701" s="21"/>
      <c r="BC1701" s="21"/>
      <c r="BD1701" s="21"/>
      <c r="BE1701" s="21"/>
      <c r="BF1701" s="21"/>
      <c r="BG1701" s="21"/>
    </row>
    <row r="1702" spans="38:59">
      <c r="AL1702" s="21"/>
      <c r="AM1702" s="24"/>
      <c r="AN1702" s="21"/>
      <c r="AO1702" s="21"/>
      <c r="AP1702" s="64"/>
      <c r="AQ1702" s="64"/>
      <c r="AR1702" s="21"/>
      <c r="AS1702" s="21"/>
      <c r="AT1702" s="21"/>
      <c r="AU1702" s="22"/>
      <c r="AV1702" s="21"/>
      <c r="AW1702" s="21"/>
      <c r="AX1702" s="21"/>
      <c r="AY1702" s="21"/>
      <c r="AZ1702" s="21"/>
      <c r="BA1702" s="21"/>
      <c r="BB1702" s="21"/>
      <c r="BC1702" s="21"/>
      <c r="BD1702" s="21"/>
      <c r="BE1702" s="21"/>
      <c r="BF1702" s="21"/>
      <c r="BG1702" s="21"/>
    </row>
    <row r="1703" spans="38:59">
      <c r="AL1703" s="21"/>
      <c r="AM1703" s="24"/>
      <c r="AN1703" s="21"/>
      <c r="AO1703" s="21"/>
      <c r="AP1703" s="64"/>
      <c r="AQ1703" s="64"/>
      <c r="AR1703" s="21"/>
      <c r="AS1703" s="21"/>
      <c r="AT1703" s="21"/>
      <c r="AU1703" s="22"/>
      <c r="AV1703" s="21"/>
      <c r="AW1703" s="21"/>
      <c r="AX1703" s="21"/>
      <c r="AY1703" s="21"/>
      <c r="AZ1703" s="21"/>
      <c r="BA1703" s="21"/>
      <c r="BB1703" s="21"/>
      <c r="BC1703" s="21"/>
      <c r="BD1703" s="21"/>
      <c r="BE1703" s="21"/>
      <c r="BF1703" s="21"/>
      <c r="BG1703" s="21"/>
    </row>
    <row r="1704" spans="38:59">
      <c r="AL1704" s="21"/>
      <c r="AM1704" s="24"/>
      <c r="AN1704" s="21"/>
      <c r="AO1704" s="21"/>
      <c r="AP1704" s="64"/>
      <c r="AQ1704" s="64"/>
      <c r="AR1704" s="21"/>
      <c r="AS1704" s="21"/>
      <c r="AT1704" s="21"/>
      <c r="AU1704" s="22"/>
      <c r="AV1704" s="21"/>
      <c r="AW1704" s="21"/>
      <c r="AX1704" s="21"/>
      <c r="AY1704" s="21"/>
      <c r="AZ1704" s="21"/>
      <c r="BA1704" s="21"/>
      <c r="BB1704" s="21"/>
      <c r="BC1704" s="21"/>
      <c r="BD1704" s="21"/>
      <c r="BE1704" s="21"/>
      <c r="BF1704" s="21"/>
      <c r="BG1704" s="21"/>
    </row>
    <row r="1705" spans="38:59">
      <c r="AL1705" s="21"/>
      <c r="AM1705" s="24"/>
      <c r="AN1705" s="21"/>
      <c r="AO1705" s="21"/>
      <c r="AP1705" s="64"/>
      <c r="AQ1705" s="64"/>
      <c r="AR1705" s="21"/>
      <c r="AS1705" s="21"/>
      <c r="AT1705" s="21"/>
      <c r="AU1705" s="22"/>
      <c r="AV1705" s="21"/>
      <c r="AW1705" s="21"/>
      <c r="AX1705" s="21"/>
      <c r="AY1705" s="21"/>
      <c r="AZ1705" s="21"/>
      <c r="BA1705" s="21"/>
      <c r="BB1705" s="21"/>
      <c r="BC1705" s="21"/>
      <c r="BD1705" s="21"/>
      <c r="BE1705" s="21"/>
      <c r="BF1705" s="21"/>
      <c r="BG1705" s="21"/>
    </row>
    <row r="1706" spans="38:59">
      <c r="AL1706" s="21"/>
      <c r="AM1706" s="24"/>
      <c r="AN1706" s="21"/>
      <c r="AO1706" s="21"/>
      <c r="AP1706" s="64"/>
      <c r="AQ1706" s="64"/>
      <c r="AR1706" s="21"/>
      <c r="AS1706" s="21"/>
      <c r="AT1706" s="21"/>
      <c r="AU1706" s="22"/>
      <c r="AV1706" s="21"/>
      <c r="AW1706" s="21"/>
      <c r="AX1706" s="21"/>
      <c r="AY1706" s="21"/>
      <c r="AZ1706" s="21"/>
      <c r="BA1706" s="21"/>
      <c r="BB1706" s="21"/>
      <c r="BC1706" s="21"/>
      <c r="BD1706" s="21"/>
      <c r="BE1706" s="21"/>
      <c r="BF1706" s="21"/>
      <c r="BG1706" s="21"/>
    </row>
    <row r="1707" spans="38:59">
      <c r="AL1707" s="21"/>
      <c r="AM1707" s="24"/>
      <c r="AN1707" s="21"/>
      <c r="AO1707" s="21"/>
      <c r="AP1707" s="64"/>
      <c r="AQ1707" s="64"/>
      <c r="AR1707" s="21"/>
      <c r="AS1707" s="21"/>
      <c r="AT1707" s="21"/>
      <c r="AU1707" s="22"/>
      <c r="AV1707" s="21"/>
      <c r="AW1707" s="21"/>
      <c r="AX1707" s="21"/>
      <c r="AY1707" s="21"/>
      <c r="AZ1707" s="21"/>
      <c r="BA1707" s="21"/>
      <c r="BB1707" s="21"/>
      <c r="BC1707" s="21"/>
      <c r="BD1707" s="21"/>
      <c r="BE1707" s="21"/>
      <c r="BF1707" s="21"/>
      <c r="BG1707" s="21"/>
    </row>
    <row r="1708" spans="38:59">
      <c r="AL1708" s="21"/>
      <c r="AM1708" s="24"/>
      <c r="AN1708" s="21"/>
      <c r="AO1708" s="21"/>
      <c r="AP1708" s="64"/>
      <c r="AQ1708" s="64"/>
      <c r="AR1708" s="21"/>
      <c r="AS1708" s="21"/>
      <c r="AT1708" s="21"/>
      <c r="AU1708" s="22"/>
      <c r="AV1708" s="21"/>
      <c r="AW1708" s="21"/>
      <c r="AX1708" s="21"/>
      <c r="AY1708" s="21"/>
      <c r="AZ1708" s="21"/>
      <c r="BA1708" s="21"/>
      <c r="BB1708" s="21"/>
      <c r="BC1708" s="21"/>
      <c r="BD1708" s="21"/>
      <c r="BE1708" s="21"/>
      <c r="BF1708" s="21"/>
      <c r="BG1708" s="21"/>
    </row>
    <row r="1709" spans="38:59">
      <c r="AL1709" s="21"/>
      <c r="AM1709" s="24"/>
      <c r="AN1709" s="21"/>
      <c r="AO1709" s="21"/>
      <c r="AP1709" s="64"/>
      <c r="AQ1709" s="64"/>
      <c r="AR1709" s="21"/>
      <c r="AS1709" s="21"/>
      <c r="AT1709" s="21"/>
      <c r="AU1709" s="22"/>
      <c r="AV1709" s="21"/>
      <c r="AW1709" s="21"/>
      <c r="AX1709" s="21"/>
      <c r="AY1709" s="21"/>
      <c r="AZ1709" s="21"/>
      <c r="BA1709" s="21"/>
      <c r="BB1709" s="21"/>
      <c r="BC1709" s="21"/>
      <c r="BD1709" s="21"/>
      <c r="BE1709" s="21"/>
      <c r="BF1709" s="21"/>
      <c r="BG1709" s="21"/>
    </row>
    <row r="1710" spans="38:59">
      <c r="AL1710" s="21"/>
      <c r="AM1710" s="24"/>
      <c r="AN1710" s="21"/>
      <c r="AO1710" s="21"/>
      <c r="AP1710" s="64"/>
      <c r="AQ1710" s="64"/>
      <c r="AR1710" s="21"/>
      <c r="AS1710" s="21"/>
      <c r="AT1710" s="21"/>
      <c r="AU1710" s="22"/>
      <c r="AV1710" s="21"/>
      <c r="AW1710" s="21"/>
      <c r="AX1710" s="21"/>
      <c r="AY1710" s="21"/>
      <c r="AZ1710" s="21"/>
      <c r="BA1710" s="21"/>
      <c r="BB1710" s="21"/>
      <c r="BC1710" s="21"/>
      <c r="BD1710" s="21"/>
      <c r="BE1710" s="21"/>
      <c r="BF1710" s="21"/>
      <c r="BG1710" s="21"/>
    </row>
    <row r="1711" spans="38:59">
      <c r="AL1711" s="21"/>
      <c r="AM1711" s="24"/>
      <c r="AN1711" s="21"/>
      <c r="AO1711" s="21"/>
      <c r="AP1711" s="64"/>
      <c r="AQ1711" s="64"/>
      <c r="AR1711" s="21"/>
      <c r="AS1711" s="21"/>
      <c r="AT1711" s="21"/>
      <c r="AU1711" s="22"/>
      <c r="AV1711" s="21"/>
      <c r="AW1711" s="21"/>
      <c r="AX1711" s="21"/>
      <c r="AY1711" s="21"/>
      <c r="AZ1711" s="21"/>
      <c r="BA1711" s="21"/>
      <c r="BB1711" s="21"/>
      <c r="BC1711" s="21"/>
      <c r="BD1711" s="21"/>
      <c r="BE1711" s="21"/>
      <c r="BF1711" s="21"/>
      <c r="BG1711" s="21"/>
    </row>
    <row r="1712" spans="38:59">
      <c r="AL1712" s="21"/>
      <c r="AM1712" s="24"/>
      <c r="AN1712" s="21"/>
      <c r="AO1712" s="21"/>
      <c r="AP1712" s="64"/>
      <c r="AQ1712" s="64"/>
      <c r="AR1712" s="21"/>
      <c r="AS1712" s="21"/>
      <c r="AT1712" s="21"/>
      <c r="AU1712" s="22"/>
      <c r="AV1712" s="21"/>
      <c r="AW1712" s="21"/>
      <c r="AX1712" s="21"/>
      <c r="AY1712" s="21"/>
      <c r="AZ1712" s="21"/>
      <c r="BA1712" s="21"/>
      <c r="BB1712" s="21"/>
      <c r="BC1712" s="21"/>
      <c r="BD1712" s="21"/>
      <c r="BE1712" s="21"/>
      <c r="BF1712" s="21"/>
      <c r="BG1712" s="21"/>
    </row>
    <row r="1713" spans="38:59">
      <c r="AL1713" s="21"/>
      <c r="AM1713" s="24"/>
      <c r="AN1713" s="21"/>
      <c r="AO1713" s="21"/>
      <c r="AP1713" s="64"/>
      <c r="AQ1713" s="64"/>
      <c r="AR1713" s="21"/>
      <c r="AS1713" s="21"/>
      <c r="AT1713" s="21"/>
      <c r="AU1713" s="22"/>
      <c r="AV1713" s="21"/>
      <c r="AW1713" s="21"/>
      <c r="AX1713" s="21"/>
      <c r="AY1713" s="21"/>
      <c r="AZ1713" s="21"/>
      <c r="BA1713" s="21"/>
      <c r="BB1713" s="21"/>
      <c r="BC1713" s="21"/>
      <c r="BD1713" s="21"/>
      <c r="BE1713" s="21"/>
      <c r="BF1713" s="21"/>
      <c r="BG1713" s="21"/>
    </row>
    <row r="1714" spans="38:59">
      <c r="AL1714" s="21"/>
      <c r="AM1714" s="24"/>
      <c r="AN1714" s="21"/>
      <c r="AO1714" s="21"/>
      <c r="AP1714" s="64"/>
      <c r="AQ1714" s="64"/>
      <c r="AR1714" s="21"/>
      <c r="AS1714" s="21"/>
      <c r="AT1714" s="21"/>
      <c r="AU1714" s="22"/>
      <c r="AV1714" s="21"/>
      <c r="AW1714" s="21"/>
      <c r="AX1714" s="21"/>
      <c r="AY1714" s="21"/>
      <c r="AZ1714" s="21"/>
      <c r="BA1714" s="21"/>
      <c r="BB1714" s="21"/>
      <c r="BC1714" s="21"/>
      <c r="BD1714" s="21"/>
      <c r="BE1714" s="21"/>
      <c r="BF1714" s="21"/>
      <c r="BG1714" s="21"/>
    </row>
    <row r="1715" spans="38:59">
      <c r="AL1715" s="21"/>
      <c r="AM1715" s="24"/>
      <c r="AN1715" s="21"/>
      <c r="AO1715" s="21"/>
      <c r="AP1715" s="64"/>
      <c r="AQ1715" s="64"/>
      <c r="AR1715" s="21"/>
      <c r="AS1715" s="21"/>
      <c r="AT1715" s="21"/>
      <c r="AU1715" s="22"/>
      <c r="AV1715" s="21"/>
      <c r="AW1715" s="21"/>
      <c r="AX1715" s="21"/>
      <c r="AY1715" s="21"/>
      <c r="AZ1715" s="21"/>
      <c r="BA1715" s="21"/>
      <c r="BB1715" s="21"/>
      <c r="BC1715" s="21"/>
      <c r="BD1715" s="21"/>
      <c r="BE1715" s="21"/>
      <c r="BF1715" s="21"/>
      <c r="BG1715" s="21"/>
    </row>
    <row r="1716" spans="38:59">
      <c r="AL1716" s="21"/>
      <c r="AM1716" s="24"/>
      <c r="AN1716" s="21"/>
      <c r="AO1716" s="21"/>
      <c r="AP1716" s="64"/>
      <c r="AQ1716" s="64"/>
      <c r="AR1716" s="21"/>
      <c r="AS1716" s="21"/>
      <c r="AT1716" s="21"/>
      <c r="AU1716" s="22"/>
      <c r="AV1716" s="21"/>
      <c r="AW1716" s="21"/>
      <c r="AX1716" s="21"/>
      <c r="AY1716" s="21"/>
      <c r="AZ1716" s="21"/>
      <c r="BA1716" s="21"/>
      <c r="BB1716" s="21"/>
      <c r="BC1716" s="21"/>
      <c r="BD1716" s="21"/>
      <c r="BE1716" s="21"/>
      <c r="BF1716" s="21"/>
      <c r="BG1716" s="21"/>
    </row>
    <row r="1717" spans="38:59">
      <c r="AL1717" s="21"/>
      <c r="AM1717" s="24"/>
      <c r="AN1717" s="21"/>
      <c r="AO1717" s="21"/>
      <c r="AP1717" s="64"/>
      <c r="AQ1717" s="64"/>
      <c r="AR1717" s="21"/>
      <c r="AS1717" s="21"/>
      <c r="AT1717" s="21"/>
      <c r="AU1717" s="22"/>
      <c r="AV1717" s="21"/>
      <c r="AW1717" s="21"/>
      <c r="AX1717" s="21"/>
      <c r="AY1717" s="21"/>
      <c r="AZ1717" s="21"/>
      <c r="BA1717" s="21"/>
      <c r="BB1717" s="21"/>
      <c r="BC1717" s="21"/>
      <c r="BD1717" s="21"/>
      <c r="BE1717" s="21"/>
      <c r="BF1717" s="21"/>
      <c r="BG1717" s="21"/>
    </row>
    <row r="1718" spans="38:59">
      <c r="AL1718" s="21"/>
      <c r="AM1718" s="24"/>
      <c r="AN1718" s="21"/>
      <c r="AO1718" s="21"/>
      <c r="AP1718" s="64"/>
      <c r="AQ1718" s="64"/>
      <c r="AR1718" s="21"/>
      <c r="AS1718" s="21"/>
      <c r="AT1718" s="21"/>
      <c r="AU1718" s="22"/>
      <c r="AV1718" s="21"/>
      <c r="AW1718" s="21"/>
      <c r="AX1718" s="21"/>
      <c r="AY1718" s="21"/>
      <c r="AZ1718" s="21"/>
      <c r="BA1718" s="21"/>
      <c r="BB1718" s="21"/>
      <c r="BC1718" s="21"/>
      <c r="BD1718" s="21"/>
      <c r="BE1718" s="21"/>
      <c r="BF1718" s="21"/>
      <c r="BG1718" s="21"/>
    </row>
    <row r="1719" spans="38:59">
      <c r="AL1719" s="21"/>
      <c r="AM1719" s="24"/>
      <c r="AN1719" s="21"/>
      <c r="AO1719" s="21"/>
      <c r="AP1719" s="64"/>
      <c r="AQ1719" s="64"/>
      <c r="AR1719" s="21"/>
      <c r="AS1719" s="21"/>
      <c r="AT1719" s="21"/>
      <c r="AU1719" s="22"/>
      <c r="AV1719" s="21"/>
      <c r="AW1719" s="21"/>
      <c r="AX1719" s="21"/>
      <c r="AY1719" s="21"/>
      <c r="AZ1719" s="21"/>
      <c r="BA1719" s="21"/>
      <c r="BB1719" s="21"/>
      <c r="BC1719" s="21"/>
      <c r="BD1719" s="21"/>
      <c r="BE1719" s="21"/>
      <c r="BF1719" s="21"/>
      <c r="BG1719" s="21"/>
    </row>
    <row r="1720" spans="38:59">
      <c r="AL1720" s="21"/>
      <c r="AM1720" s="24"/>
      <c r="AN1720" s="21"/>
      <c r="AO1720" s="21"/>
      <c r="AP1720" s="64"/>
      <c r="AQ1720" s="64"/>
      <c r="AR1720" s="21"/>
      <c r="AS1720" s="21"/>
      <c r="AT1720" s="21"/>
      <c r="AU1720" s="22"/>
      <c r="AV1720" s="21"/>
      <c r="AW1720" s="21"/>
      <c r="AX1720" s="21"/>
      <c r="AY1720" s="21"/>
      <c r="AZ1720" s="21"/>
      <c r="BA1720" s="21"/>
      <c r="BB1720" s="21"/>
      <c r="BC1720" s="21"/>
      <c r="BD1720" s="21"/>
      <c r="BE1720" s="21"/>
      <c r="BF1720" s="21"/>
      <c r="BG1720" s="21"/>
    </row>
    <row r="1721" spans="38:59">
      <c r="AL1721" s="21"/>
      <c r="AM1721" s="24"/>
      <c r="AN1721" s="21"/>
      <c r="AO1721" s="21"/>
      <c r="AP1721" s="64"/>
      <c r="AQ1721" s="64"/>
      <c r="AR1721" s="21"/>
      <c r="AS1721" s="21"/>
      <c r="AT1721" s="21"/>
      <c r="AU1721" s="22"/>
      <c r="AV1721" s="21"/>
      <c r="AW1721" s="21"/>
      <c r="AX1721" s="21"/>
      <c r="AY1721" s="21"/>
      <c r="AZ1721" s="21"/>
      <c r="BA1721" s="21"/>
      <c r="BB1721" s="21"/>
      <c r="BC1721" s="21"/>
      <c r="BD1721" s="21"/>
      <c r="BE1721" s="21"/>
      <c r="BF1721" s="21"/>
      <c r="BG1721" s="21"/>
    </row>
    <row r="1722" spans="38:59">
      <c r="AL1722" s="21"/>
      <c r="AM1722" s="24"/>
      <c r="AN1722" s="21"/>
      <c r="AO1722" s="21"/>
      <c r="AP1722" s="64"/>
      <c r="AQ1722" s="64"/>
      <c r="AR1722" s="21"/>
      <c r="AS1722" s="21"/>
      <c r="AT1722" s="21"/>
      <c r="AU1722" s="22"/>
      <c r="AV1722" s="21"/>
      <c r="AW1722" s="21"/>
      <c r="AX1722" s="21"/>
      <c r="AY1722" s="21"/>
      <c r="AZ1722" s="21"/>
      <c r="BA1722" s="21"/>
      <c r="BB1722" s="21"/>
      <c r="BC1722" s="21"/>
      <c r="BD1722" s="21"/>
      <c r="BE1722" s="21"/>
      <c r="BF1722" s="21"/>
      <c r="BG1722" s="21"/>
    </row>
    <row r="1723" spans="38:59">
      <c r="AL1723" s="21"/>
      <c r="AM1723" s="24"/>
      <c r="AN1723" s="21"/>
      <c r="AO1723" s="21"/>
      <c r="AP1723" s="64"/>
      <c r="AQ1723" s="64"/>
      <c r="AR1723" s="21"/>
      <c r="AS1723" s="21"/>
      <c r="AT1723" s="21"/>
      <c r="AU1723" s="22"/>
      <c r="AV1723" s="21"/>
      <c r="AW1723" s="21"/>
      <c r="AX1723" s="21"/>
      <c r="AY1723" s="21"/>
      <c r="AZ1723" s="21"/>
      <c r="BA1723" s="21"/>
      <c r="BB1723" s="21"/>
      <c r="BC1723" s="21"/>
      <c r="BD1723" s="21"/>
      <c r="BE1723" s="21"/>
      <c r="BF1723" s="21"/>
      <c r="BG1723" s="21"/>
    </row>
    <row r="1724" spans="38:59">
      <c r="AL1724" s="21"/>
      <c r="AM1724" s="24"/>
      <c r="AN1724" s="21"/>
      <c r="AO1724" s="21"/>
      <c r="AP1724" s="64"/>
      <c r="AQ1724" s="64"/>
      <c r="AR1724" s="21"/>
      <c r="AS1724" s="21"/>
      <c r="AT1724" s="21"/>
      <c r="AU1724" s="22"/>
      <c r="AV1724" s="21"/>
      <c r="AW1724" s="21"/>
      <c r="AX1724" s="21"/>
      <c r="AY1724" s="21"/>
      <c r="AZ1724" s="21"/>
      <c r="BA1724" s="21"/>
      <c r="BB1724" s="21"/>
      <c r="BC1724" s="21"/>
      <c r="BD1724" s="21"/>
      <c r="BE1724" s="21"/>
      <c r="BF1724" s="21"/>
      <c r="BG1724" s="21"/>
    </row>
    <row r="1725" spans="38:59">
      <c r="AL1725" s="21"/>
      <c r="AM1725" s="24"/>
      <c r="AN1725" s="21"/>
      <c r="AO1725" s="21"/>
      <c r="AP1725" s="64"/>
      <c r="AQ1725" s="64"/>
      <c r="AR1725" s="21"/>
      <c r="AS1725" s="21"/>
      <c r="AT1725" s="21"/>
      <c r="AU1725" s="22"/>
      <c r="AV1725" s="21"/>
      <c r="AW1725" s="21"/>
      <c r="AX1725" s="21"/>
      <c r="AY1725" s="21"/>
      <c r="AZ1725" s="21"/>
      <c r="BA1725" s="21"/>
      <c r="BB1725" s="21"/>
      <c r="BC1725" s="21"/>
      <c r="BD1725" s="21"/>
      <c r="BE1725" s="21"/>
      <c r="BF1725" s="21"/>
      <c r="BG1725" s="21"/>
    </row>
    <row r="1726" spans="38:59">
      <c r="AL1726" s="21"/>
      <c r="AM1726" s="24"/>
      <c r="AN1726" s="21"/>
      <c r="AO1726" s="21"/>
      <c r="AP1726" s="64"/>
      <c r="AQ1726" s="64"/>
      <c r="AR1726" s="21"/>
      <c r="AS1726" s="21"/>
      <c r="AT1726" s="21"/>
      <c r="AU1726" s="22"/>
      <c r="AV1726" s="21"/>
      <c r="AW1726" s="21"/>
      <c r="AX1726" s="21"/>
      <c r="AY1726" s="21"/>
      <c r="AZ1726" s="21"/>
      <c r="BA1726" s="21"/>
      <c r="BB1726" s="21"/>
      <c r="BC1726" s="21"/>
      <c r="BD1726" s="21"/>
      <c r="BE1726" s="21"/>
      <c r="BF1726" s="21"/>
      <c r="BG1726" s="21"/>
    </row>
    <row r="1727" spans="38:59">
      <c r="AL1727" s="21"/>
      <c r="AM1727" s="24"/>
      <c r="AN1727" s="21"/>
      <c r="AO1727" s="21"/>
      <c r="AP1727" s="64"/>
      <c r="AQ1727" s="64"/>
      <c r="AR1727" s="21"/>
      <c r="AS1727" s="21"/>
      <c r="AT1727" s="21"/>
      <c r="AU1727" s="22"/>
      <c r="AV1727" s="21"/>
      <c r="AW1727" s="21"/>
      <c r="AX1727" s="21"/>
      <c r="AY1727" s="21"/>
      <c r="AZ1727" s="21"/>
      <c r="BA1727" s="21"/>
      <c r="BB1727" s="21"/>
      <c r="BC1727" s="21"/>
      <c r="BD1727" s="21"/>
      <c r="BE1727" s="21"/>
      <c r="BF1727" s="21"/>
      <c r="BG1727" s="21"/>
    </row>
    <row r="1728" spans="38:59">
      <c r="AL1728" s="21"/>
      <c r="AM1728" s="24"/>
      <c r="AN1728" s="21"/>
      <c r="AO1728" s="21"/>
      <c r="AP1728" s="64"/>
      <c r="AQ1728" s="64"/>
      <c r="AR1728" s="21"/>
      <c r="AS1728" s="21"/>
      <c r="AT1728" s="21"/>
      <c r="AU1728" s="22"/>
      <c r="AV1728" s="21"/>
      <c r="AW1728" s="21"/>
      <c r="AX1728" s="21"/>
      <c r="AY1728" s="21"/>
      <c r="AZ1728" s="21"/>
      <c r="BA1728" s="21"/>
      <c r="BB1728" s="21"/>
      <c r="BC1728" s="21"/>
      <c r="BD1728" s="21"/>
      <c r="BE1728" s="21"/>
      <c r="BF1728" s="21"/>
      <c r="BG1728" s="21"/>
    </row>
    <row r="1729" spans="38:59">
      <c r="AL1729" s="21"/>
      <c r="AM1729" s="24"/>
      <c r="AN1729" s="21"/>
      <c r="AO1729" s="21"/>
      <c r="AP1729" s="64"/>
      <c r="AQ1729" s="64"/>
      <c r="AR1729" s="21"/>
      <c r="AS1729" s="21"/>
      <c r="AT1729" s="21"/>
      <c r="AU1729" s="22"/>
      <c r="AV1729" s="21"/>
      <c r="AW1729" s="21"/>
      <c r="AX1729" s="21"/>
      <c r="AY1729" s="21"/>
      <c r="AZ1729" s="21"/>
      <c r="BA1729" s="21"/>
      <c r="BB1729" s="21"/>
      <c r="BC1729" s="21"/>
      <c r="BD1729" s="21"/>
      <c r="BE1729" s="21"/>
      <c r="BF1729" s="21"/>
      <c r="BG1729" s="21"/>
    </row>
    <row r="1730" spans="38:59">
      <c r="AL1730" s="21"/>
      <c r="AM1730" s="24"/>
      <c r="AN1730" s="21"/>
      <c r="AO1730" s="21"/>
      <c r="AP1730" s="64"/>
      <c r="AQ1730" s="64"/>
      <c r="AR1730" s="21"/>
      <c r="AS1730" s="21"/>
      <c r="AT1730" s="21"/>
      <c r="AU1730" s="22"/>
      <c r="AV1730" s="21"/>
      <c r="AW1730" s="21"/>
      <c r="AX1730" s="21"/>
      <c r="AY1730" s="21"/>
      <c r="AZ1730" s="21"/>
      <c r="BA1730" s="21"/>
      <c r="BB1730" s="21"/>
      <c r="BC1730" s="21"/>
      <c r="BD1730" s="21"/>
      <c r="BE1730" s="21"/>
      <c r="BF1730" s="21"/>
      <c r="BG1730" s="21"/>
    </row>
    <row r="1731" spans="38:59">
      <c r="AL1731" s="21"/>
      <c r="AM1731" s="24"/>
      <c r="AN1731" s="21"/>
      <c r="AO1731" s="21"/>
      <c r="AP1731" s="64"/>
      <c r="AQ1731" s="64"/>
      <c r="AR1731" s="21"/>
      <c r="AS1731" s="21"/>
      <c r="AT1731" s="21"/>
      <c r="AU1731" s="22"/>
      <c r="AV1731" s="21"/>
      <c r="AW1731" s="21"/>
      <c r="AX1731" s="21"/>
      <c r="AY1731" s="21"/>
      <c r="AZ1731" s="21"/>
      <c r="BA1731" s="21"/>
      <c r="BB1731" s="21"/>
      <c r="BC1731" s="21"/>
      <c r="BD1731" s="21"/>
      <c r="BE1731" s="21"/>
      <c r="BF1731" s="21"/>
      <c r="BG1731" s="21"/>
    </row>
    <row r="1732" spans="38:59">
      <c r="AL1732" s="21"/>
      <c r="AM1732" s="24"/>
      <c r="AN1732" s="21"/>
      <c r="AO1732" s="21"/>
      <c r="AP1732" s="64"/>
      <c r="AQ1732" s="64"/>
      <c r="AR1732" s="21"/>
      <c r="AS1732" s="21"/>
      <c r="AT1732" s="21"/>
      <c r="AU1732" s="22"/>
      <c r="AV1732" s="21"/>
      <c r="AW1732" s="21"/>
      <c r="AX1732" s="21"/>
      <c r="AY1732" s="21"/>
      <c r="AZ1732" s="21"/>
      <c r="BA1732" s="21"/>
      <c r="BB1732" s="21"/>
      <c r="BC1732" s="21"/>
      <c r="BD1732" s="21"/>
      <c r="BE1732" s="21"/>
      <c r="BF1732" s="21"/>
      <c r="BG1732" s="21"/>
    </row>
    <row r="1733" spans="38:59">
      <c r="AL1733" s="21"/>
      <c r="AM1733" s="24"/>
      <c r="AN1733" s="21"/>
      <c r="AO1733" s="21"/>
      <c r="AP1733" s="64"/>
      <c r="AQ1733" s="64"/>
      <c r="AR1733" s="21"/>
      <c r="AS1733" s="21"/>
      <c r="AT1733" s="21"/>
      <c r="AU1733" s="22"/>
      <c r="AV1733" s="21"/>
      <c r="AW1733" s="21"/>
      <c r="AX1733" s="21"/>
      <c r="AY1733" s="21"/>
      <c r="AZ1733" s="21"/>
      <c r="BA1733" s="21"/>
      <c r="BB1733" s="21"/>
      <c r="BC1733" s="21"/>
      <c r="BD1733" s="21"/>
      <c r="BE1733" s="21"/>
      <c r="BF1733" s="21"/>
      <c r="BG1733" s="21"/>
    </row>
    <row r="1734" spans="38:59">
      <c r="AL1734" s="21"/>
      <c r="AM1734" s="24"/>
      <c r="AN1734" s="21"/>
      <c r="AO1734" s="21"/>
      <c r="AP1734" s="64"/>
      <c r="AQ1734" s="64"/>
      <c r="AR1734" s="21"/>
      <c r="AS1734" s="21"/>
      <c r="AT1734" s="21"/>
      <c r="AU1734" s="22"/>
      <c r="AV1734" s="21"/>
      <c r="AW1734" s="21"/>
      <c r="AX1734" s="21"/>
      <c r="AY1734" s="21"/>
      <c r="AZ1734" s="21"/>
      <c r="BA1734" s="21"/>
      <c r="BB1734" s="21"/>
      <c r="BC1734" s="21"/>
      <c r="BD1734" s="21"/>
      <c r="BE1734" s="21"/>
      <c r="BF1734" s="21"/>
      <c r="BG1734" s="21"/>
    </row>
    <row r="1735" spans="38:59">
      <c r="AL1735" s="21"/>
      <c r="AM1735" s="24"/>
      <c r="AN1735" s="21"/>
      <c r="AO1735" s="21"/>
      <c r="AP1735" s="64"/>
      <c r="AQ1735" s="64"/>
      <c r="AR1735" s="21"/>
      <c r="AS1735" s="21"/>
      <c r="AT1735" s="21"/>
      <c r="AU1735" s="22"/>
      <c r="AV1735" s="21"/>
      <c r="AW1735" s="21"/>
      <c r="AX1735" s="21"/>
      <c r="AY1735" s="21"/>
      <c r="AZ1735" s="21"/>
      <c r="BA1735" s="21"/>
      <c r="BB1735" s="21"/>
      <c r="BC1735" s="21"/>
      <c r="BD1735" s="21"/>
      <c r="BE1735" s="21"/>
      <c r="BF1735" s="21"/>
      <c r="BG1735" s="21"/>
    </row>
    <row r="1736" spans="38:59">
      <c r="AL1736" s="21"/>
      <c r="AM1736" s="24"/>
      <c r="AN1736" s="21"/>
      <c r="AO1736" s="21"/>
      <c r="AP1736" s="64"/>
      <c r="AQ1736" s="64"/>
      <c r="AR1736" s="21"/>
      <c r="AS1736" s="21"/>
      <c r="AT1736" s="21"/>
      <c r="AU1736" s="22"/>
      <c r="AV1736" s="21"/>
      <c r="AW1736" s="21"/>
      <c r="AX1736" s="21"/>
      <c r="AY1736" s="21"/>
      <c r="AZ1736" s="21"/>
      <c r="BA1736" s="21"/>
      <c r="BB1736" s="21"/>
      <c r="BC1736" s="21"/>
      <c r="BD1736" s="21"/>
      <c r="BE1736" s="21"/>
      <c r="BF1736" s="21"/>
      <c r="BG1736" s="21"/>
    </row>
    <row r="1737" spans="38:59">
      <c r="AL1737" s="21"/>
      <c r="AM1737" s="24"/>
      <c r="AN1737" s="21"/>
      <c r="AO1737" s="21"/>
      <c r="AP1737" s="64"/>
      <c r="AQ1737" s="64"/>
      <c r="AR1737" s="21"/>
      <c r="AS1737" s="21"/>
      <c r="AT1737" s="21"/>
      <c r="AU1737" s="22"/>
      <c r="AV1737" s="21"/>
      <c r="AW1737" s="21"/>
      <c r="AX1737" s="21"/>
      <c r="AY1737" s="21"/>
      <c r="AZ1737" s="21"/>
      <c r="BA1737" s="21"/>
      <c r="BB1737" s="21"/>
      <c r="BC1737" s="21"/>
      <c r="BD1737" s="21"/>
      <c r="BE1737" s="21"/>
      <c r="BF1737" s="21"/>
      <c r="BG1737" s="21"/>
    </row>
    <row r="1738" spans="38:59">
      <c r="AL1738" s="21"/>
      <c r="AM1738" s="24"/>
      <c r="AN1738" s="21"/>
      <c r="AO1738" s="21"/>
      <c r="AP1738" s="64"/>
      <c r="AQ1738" s="64"/>
      <c r="AR1738" s="21"/>
      <c r="AS1738" s="21"/>
      <c r="AT1738" s="21"/>
      <c r="AU1738" s="22"/>
      <c r="AV1738" s="21"/>
      <c r="AW1738" s="21"/>
      <c r="AX1738" s="21"/>
      <c r="AY1738" s="21"/>
      <c r="AZ1738" s="21"/>
      <c r="BA1738" s="21"/>
      <c r="BB1738" s="21"/>
      <c r="BC1738" s="21"/>
      <c r="BD1738" s="21"/>
      <c r="BE1738" s="21"/>
      <c r="BF1738" s="21"/>
      <c r="BG1738" s="21"/>
    </row>
    <row r="1739" spans="38:59">
      <c r="AL1739" s="21"/>
      <c r="AM1739" s="24"/>
      <c r="AN1739" s="21"/>
      <c r="AO1739" s="21"/>
      <c r="AP1739" s="64"/>
      <c r="AQ1739" s="64"/>
      <c r="AR1739" s="21"/>
      <c r="AS1739" s="21"/>
      <c r="AT1739" s="21"/>
      <c r="AU1739" s="22"/>
      <c r="AV1739" s="21"/>
      <c r="AW1739" s="21"/>
      <c r="AX1739" s="21"/>
      <c r="AY1739" s="21"/>
      <c r="AZ1739" s="21"/>
      <c r="BA1739" s="21"/>
      <c r="BB1739" s="21"/>
      <c r="BC1739" s="21"/>
      <c r="BD1739" s="21"/>
      <c r="BE1739" s="21"/>
      <c r="BF1739" s="21"/>
      <c r="BG1739" s="21"/>
    </row>
    <row r="1740" spans="38:59">
      <c r="AL1740" s="21"/>
      <c r="AM1740" s="24"/>
      <c r="AN1740" s="21"/>
      <c r="AO1740" s="21"/>
      <c r="AP1740" s="64"/>
      <c r="AQ1740" s="64"/>
      <c r="AR1740" s="21"/>
      <c r="AS1740" s="21"/>
      <c r="AT1740" s="21"/>
      <c r="AU1740" s="22"/>
      <c r="AV1740" s="21"/>
      <c r="AW1740" s="21"/>
      <c r="AX1740" s="21"/>
      <c r="AY1740" s="21"/>
      <c r="AZ1740" s="21"/>
      <c r="BA1740" s="21"/>
      <c r="BB1740" s="21"/>
      <c r="BC1740" s="21"/>
      <c r="BD1740" s="21"/>
      <c r="BE1740" s="21"/>
      <c r="BF1740" s="21"/>
      <c r="BG1740" s="21"/>
    </row>
    <row r="1741" spans="38:59">
      <c r="AL1741" s="21"/>
      <c r="AM1741" s="24"/>
      <c r="AN1741" s="21"/>
      <c r="AO1741" s="21"/>
      <c r="AP1741" s="64"/>
      <c r="AQ1741" s="64"/>
      <c r="AR1741" s="21"/>
      <c r="AS1741" s="21"/>
      <c r="AT1741" s="21"/>
      <c r="AU1741" s="22"/>
      <c r="AV1741" s="21"/>
      <c r="AW1741" s="21"/>
      <c r="AX1741" s="21"/>
      <c r="AY1741" s="21"/>
      <c r="AZ1741" s="21"/>
      <c r="BA1741" s="21"/>
      <c r="BB1741" s="21"/>
      <c r="BC1741" s="21"/>
      <c r="BD1741" s="21"/>
      <c r="BE1741" s="21"/>
      <c r="BF1741" s="21"/>
      <c r="BG1741" s="21"/>
    </row>
    <row r="1742" spans="38:59">
      <c r="AL1742" s="21"/>
      <c r="AM1742" s="24"/>
      <c r="AN1742" s="21"/>
      <c r="AO1742" s="21"/>
      <c r="AP1742" s="64"/>
      <c r="AQ1742" s="64"/>
      <c r="AR1742" s="21"/>
      <c r="AS1742" s="21"/>
      <c r="AT1742" s="21"/>
      <c r="AU1742" s="22"/>
      <c r="AV1742" s="21"/>
      <c r="AW1742" s="21"/>
      <c r="AX1742" s="21"/>
      <c r="AY1742" s="21"/>
      <c r="AZ1742" s="21"/>
      <c r="BA1742" s="21"/>
      <c r="BB1742" s="21"/>
      <c r="BC1742" s="21"/>
      <c r="BD1742" s="21"/>
      <c r="BE1742" s="21"/>
      <c r="BF1742" s="21"/>
      <c r="BG1742" s="21"/>
    </row>
    <row r="1743" spans="38:59">
      <c r="AL1743" s="21"/>
      <c r="AM1743" s="24"/>
      <c r="AN1743" s="21"/>
      <c r="AO1743" s="21"/>
      <c r="AP1743" s="64"/>
      <c r="AQ1743" s="64"/>
      <c r="AR1743" s="21"/>
      <c r="AS1743" s="21"/>
      <c r="AT1743" s="21"/>
      <c r="AU1743" s="22"/>
      <c r="AV1743" s="21"/>
      <c r="AW1743" s="21"/>
      <c r="AX1743" s="21"/>
      <c r="AY1743" s="21"/>
      <c r="AZ1743" s="21"/>
      <c r="BA1743" s="21"/>
      <c r="BB1743" s="21"/>
      <c r="BC1743" s="21"/>
      <c r="BD1743" s="21"/>
      <c r="BE1743" s="21"/>
      <c r="BF1743" s="21"/>
      <c r="BG1743" s="21"/>
    </row>
    <row r="1744" spans="38:59">
      <c r="AL1744" s="21"/>
      <c r="AM1744" s="24"/>
      <c r="AN1744" s="21"/>
      <c r="AO1744" s="21"/>
      <c r="AP1744" s="64"/>
      <c r="AQ1744" s="64"/>
      <c r="AR1744" s="21"/>
      <c r="AS1744" s="21"/>
      <c r="AT1744" s="21"/>
      <c r="AU1744" s="22"/>
      <c r="AV1744" s="21"/>
      <c r="AW1744" s="21"/>
      <c r="AX1744" s="21"/>
      <c r="AY1744" s="21"/>
      <c r="AZ1744" s="21"/>
      <c r="BA1744" s="21"/>
      <c r="BB1744" s="21"/>
      <c r="BC1744" s="21"/>
      <c r="BD1744" s="21"/>
      <c r="BE1744" s="21"/>
      <c r="BF1744" s="21"/>
      <c r="BG1744" s="21"/>
    </row>
    <row r="1745" spans="38:59">
      <c r="AL1745" s="21"/>
      <c r="AM1745" s="24"/>
      <c r="AN1745" s="21"/>
      <c r="AO1745" s="21"/>
      <c r="AP1745" s="64"/>
      <c r="AQ1745" s="64"/>
      <c r="AR1745" s="21"/>
      <c r="AS1745" s="21"/>
      <c r="AT1745" s="21"/>
      <c r="AU1745" s="22"/>
      <c r="AV1745" s="21"/>
      <c r="AW1745" s="21"/>
      <c r="AX1745" s="21"/>
      <c r="AY1745" s="21"/>
      <c r="AZ1745" s="21"/>
      <c r="BA1745" s="21"/>
      <c r="BB1745" s="21"/>
      <c r="BC1745" s="21"/>
      <c r="BD1745" s="21"/>
      <c r="BE1745" s="21"/>
      <c r="BF1745" s="21"/>
      <c r="BG1745" s="21"/>
    </row>
    <row r="1746" spans="38:59">
      <c r="AL1746" s="21"/>
      <c r="AM1746" s="24"/>
      <c r="AN1746" s="21"/>
      <c r="AO1746" s="21"/>
      <c r="AP1746" s="64"/>
      <c r="AQ1746" s="64"/>
      <c r="AR1746" s="21"/>
      <c r="AS1746" s="21"/>
      <c r="AT1746" s="21"/>
      <c r="AU1746" s="22"/>
      <c r="AV1746" s="21"/>
      <c r="AW1746" s="21"/>
      <c r="AX1746" s="21"/>
      <c r="AY1746" s="21"/>
      <c r="AZ1746" s="21"/>
      <c r="BA1746" s="21"/>
      <c r="BB1746" s="21"/>
      <c r="BC1746" s="21"/>
      <c r="BD1746" s="21"/>
      <c r="BE1746" s="21"/>
      <c r="BF1746" s="21"/>
      <c r="BG1746" s="21"/>
    </row>
  </sheetData>
  <mergeCells count="3">
    <mergeCell ref="V4:AD4"/>
    <mergeCell ref="AE4:AQ4"/>
    <mergeCell ref="L4:U4"/>
  </mergeCells>
  <conditionalFormatting sqref="H7:K8 H6 H12:K14 H9:H11 H17:K17 H21:K21 H24:K25 H22:H23 H27:K27 H26 H32:K32 H28:H31 H37:K37 H33:H36 H38 H40:H42 H18:H20 H45 H39:K39 H43:K44 H46:K52 H15:H16 H53">
    <cfRule type="duplicateValues" dxfId="273" priority="82"/>
  </conditionalFormatting>
  <conditionalFormatting sqref="M52:Q52 R48:R52 L5:U5 T52 M17:U17 M19:U34 M41:U44 M46:U50 M36:U39 I16:K16 Y18 Y24 Y35 P45:Y45 M51:Y51 T54:T57 I53:K53 I19:K19 V19:Y19 M40:Y40 M7:U15 AA16:AO16 AA19:AO19 AA40:AQ40 AA45:AO45 AA51:AO51 AA53:AO53 M53:Y53 M16:Y16">
    <cfRule type="containsText" dxfId="272" priority="80" operator="containsText" text="Pendente">
      <formula>NOT(ISERROR(SEARCH("Pendente",I5)))</formula>
    </cfRule>
  </conditionalFormatting>
  <conditionalFormatting sqref="M52:Q52 R48:R52 L5:U5 T52 M17:U17 M19:U34 M41:U44 M46:U50 M36:U39 I16:K16 Y18 Y24 Y35 P45:Y45 M51:Y51 T54:T57 I53:K53 I19:K19 V19:Y19 M40:Y40 M7:U15 AA16:AO16 AA19:AO19 AA40:AQ40 AA45:AO45 AA51:AO51 AA53:AO53 M53:Y53 M16:Y16">
    <cfRule type="beginsWith" dxfId="271" priority="79" operator="beginsWith" text="GERENCIADO 100%">
      <formula>LEFT(I5,LEN("GERENCIADO 100%"))="GERENCIADO 100%"</formula>
    </cfRule>
  </conditionalFormatting>
  <conditionalFormatting sqref="AA1:AA3 AA5 AA7:AA11 AA17 AA21:AA25 AA36:AA39 AA41:AA44 AA46:AA50 V52:Y52 V58:AC1048576 AA13:AA15 AA27:AA34 Z55:AC55 AA54:AC54 AA56:AC57 AA52:AB52">
    <cfRule type="containsText" dxfId="270" priority="60" operator="containsText" text="X">
      <formula>NOT(ISERROR(SEARCH("X",V1)))</formula>
    </cfRule>
    <cfRule type="containsText" dxfId="269" priority="61" operator="containsText" text="OK">
      <formula>NOT(ISERROR(SEARCH("OK",V1)))</formula>
    </cfRule>
  </conditionalFormatting>
  <conditionalFormatting sqref="V1:Z3 V17:Z17 V7 X7:Z7 V35:X35 V20:Y20 V24:X24 AA35:AO35 V5:Z5 V12:Y12 V26:Y26 AA12:AO12 AA20:AD20 AA26:AO26 V8:Z11 V13:Z15 V21:Z23 V25:Z25 V27:Z34 V36:Z39 V41:Z44 V46:Z50 Z52">
    <cfRule type="containsText" dxfId="268" priority="58" operator="containsText" text="X">
      <formula>NOT(ISERROR(SEARCH("X",V1)))</formula>
    </cfRule>
    <cfRule type="containsText" dxfId="267" priority="59" operator="containsText" text="OK">
      <formula>NOT(ISERROR(SEARCH("OK",V1)))</formula>
    </cfRule>
  </conditionalFormatting>
  <conditionalFormatting sqref="AB1:AB3 AB5 AB17:AC17 AC52 AB7:AC11 AB41:AC44 AB46:AC50 AB36:AC39 AB21:AC25 AB13:AC15 AB27:AC34">
    <cfRule type="containsText" dxfId="266" priority="56" operator="containsText" text="X">
      <formula>NOT(ISERROR(SEARCH("X",AB1)))</formula>
    </cfRule>
    <cfRule type="containsText" dxfId="265" priority="57" operator="containsText" text="OK">
      <formula>NOT(ISERROR(SEARCH("OK",AB1)))</formula>
    </cfRule>
  </conditionalFormatting>
  <conditionalFormatting sqref="AC1:AC3 AC5">
    <cfRule type="containsText" dxfId="264" priority="54" operator="containsText" text="X">
      <formula>NOT(ISERROR(SEARCH("X",AC1)))</formula>
    </cfRule>
    <cfRule type="containsText" dxfId="263" priority="55" operator="containsText" text="OK">
      <formula>NOT(ISERROR(SEARCH("OK",AC1)))</formula>
    </cfRule>
  </conditionalFormatting>
  <conditionalFormatting sqref="AH17:AK17 AH9:AJ11 AH20:AK22 AH25:AK25 AH23:AJ23 AH27:AK27 AH28:AJ29 AH13:AJ15">
    <cfRule type="duplicateValues" dxfId="262" priority="52"/>
    <cfRule type="duplicateValues" dxfId="261" priority="53"/>
  </conditionalFormatting>
  <conditionalFormatting sqref="P52:Q52">
    <cfRule type="containsText" dxfId="260" priority="51" operator="containsText" text="Pendente">
      <formula>NOT(ISERROR(SEARCH("Pendente",P52)))</formula>
    </cfRule>
  </conditionalFormatting>
  <conditionalFormatting sqref="P52:Q52">
    <cfRule type="beginsWith" dxfId="259" priority="50" operator="beginsWith" text="GERENCIADO 100%">
      <formula>LEFT(P52,LEN("GERENCIADO 100%"))="GERENCIADO 100%"</formula>
    </cfRule>
  </conditionalFormatting>
  <conditionalFormatting sqref="L1:U3 M17:U17 M19:U34 M41:U44 M46:U50 M36:U39 M52:U52 L5:U5 L4 I16:K16 Y18 Y24 Y35 P45:Y45 M51:Y51 I53:K53 I19:K19 V19:Y19 M40:Y40 M7:U15 L58:U1048576 AA16:AO16 AA19:AO19 AA40:AQ40 AA45:AO45 AA51:AO51 AA53:AO53 M54:U57 M53:Y53 M16:Y16">
    <cfRule type="containsText" dxfId="258" priority="45" operator="containsText" text="DESLIGADO">
      <formula>NOT(ISERROR(SEARCH("DESLIGADO",I1)))</formula>
    </cfRule>
  </conditionalFormatting>
  <conditionalFormatting sqref="L1:U3 M17:U17 M19:U34 M41:U44 M46:U50 M36:U39 M52:U52 L5:U5 L4 I16:K16 Y18 Y24 Y35 P45:Y45 M51:Y51 I53:K53 I19:K19 V19:Y19 M40:Y40 M7:U15 L58:U1048576 AA16:AO16 AA19:AO19 AA40:AQ40 AA45:AO45 AA51:AO51 AA53:AO53 M54:U57 M53:Y53 M16:Y16">
    <cfRule type="containsText" dxfId="257" priority="41" operator="containsText" text="100%">
      <formula>NOT(ISERROR(SEARCH("100%",I1)))</formula>
    </cfRule>
  </conditionalFormatting>
  <conditionalFormatting sqref="AM7:AM11 AM20:AM23 AM41:AM44 AM52 AM46:AM50 AM17 AM36:AM39 AM25 AM54:AM57 AM13:AM15 AM27:AM34">
    <cfRule type="containsText" dxfId="256" priority="39" operator="containsText" text="SIM">
      <formula>NOT(ISERROR(SEARCH("SIM",AM7)))</formula>
    </cfRule>
  </conditionalFormatting>
  <conditionalFormatting sqref="AM7:AM11 AM20:AM23 AM41:AM44 AM52 AM46:AM50 AM17 AM36:AM39 AM25 AM54:AM57 AM13:AM15 AM27:AM34">
    <cfRule type="containsText" dxfId="255" priority="38" operator="containsText" text="NÃO">
      <formula>NOT(ISERROR(SEARCH("NÃO",AM7)))</formula>
    </cfRule>
  </conditionalFormatting>
  <conditionalFormatting sqref="W7">
    <cfRule type="containsText" dxfId="254" priority="33" operator="containsText" text="X">
      <formula>NOT(ISERROR(SEARCH("X",W7)))</formula>
    </cfRule>
    <cfRule type="containsText" dxfId="253" priority="34" operator="containsText" text="OK">
      <formula>NOT(ISERROR(SEARCH("OK",W7)))</formula>
    </cfRule>
  </conditionalFormatting>
  <conditionalFormatting sqref="I6:K6 Z12 Z16 Z18:Z20 Z24 Z26 Z35 Z40 Z45 Z51 Z53 M6:AQ6">
    <cfRule type="containsText" dxfId="252" priority="32" operator="containsText" text="Pendente">
      <formula>NOT(ISERROR(SEARCH("Pendente",I6)))</formula>
    </cfRule>
  </conditionalFormatting>
  <conditionalFormatting sqref="I6:K6 Z12 Z16 Z18:Z20 Z24 Z26 Z35 Z40 Z45 Z51 Z53 M6:AQ6">
    <cfRule type="beginsWith" dxfId="251" priority="31" operator="beginsWith" text="GERENCIADO 100%">
      <formula>LEFT(I6,LEN("GERENCIADO 100%"))="GERENCIADO 100%"</formula>
    </cfRule>
  </conditionalFormatting>
  <conditionalFormatting sqref="I6:K6 Z12 Z16 Z18:Z20 Z24 Z26 Z35 Z40 Z45 Z51 Z53 M6:AQ6">
    <cfRule type="containsText" dxfId="250" priority="30" operator="containsText" text="DESLIGADO">
      <formula>NOT(ISERROR(SEARCH("DESLIGADO",I6)))</formula>
    </cfRule>
  </conditionalFormatting>
  <conditionalFormatting sqref="I6:K6 Z12 Z16 Z18:Z20 Z24 Z26 Z35 Z40 Z45 Z51 Z53 M6:AQ6">
    <cfRule type="containsText" dxfId="249" priority="29" operator="containsText" text="100%">
      <formula>NOT(ISERROR(SEARCH("100%",I6)))</formula>
    </cfRule>
  </conditionalFormatting>
  <conditionalFormatting sqref="I18:K18 AA18:AO18 M18:X18">
    <cfRule type="containsText" dxfId="248" priority="28" operator="containsText" text="Pendente">
      <formula>NOT(ISERROR(SEARCH("Pendente",I18)))</formula>
    </cfRule>
  </conditionalFormatting>
  <conditionalFormatting sqref="I18:K18 AA18:AO18 M18:X18">
    <cfRule type="beginsWith" dxfId="247" priority="27" operator="beginsWith" text="GERENCIADO 100%">
      <formula>LEFT(I18,LEN("GERENCIADO 100%"))="GERENCIADO 100%"</formula>
    </cfRule>
  </conditionalFormatting>
  <conditionalFormatting sqref="I18:K18 AA18:AO18 M18:X18">
    <cfRule type="containsText" dxfId="246" priority="26" operator="containsText" text="DESLIGADO">
      <formula>NOT(ISERROR(SEARCH("DESLIGADO",I18)))</formula>
    </cfRule>
  </conditionalFormatting>
  <conditionalFormatting sqref="I18:K18 AA18:AO18 M18:X18">
    <cfRule type="containsText" dxfId="245" priority="25" operator="containsText" text="100%">
      <formula>NOT(ISERROR(SEARCH("100%",I18)))</formula>
    </cfRule>
  </conditionalFormatting>
  <conditionalFormatting sqref="AD1:AD11 AD21:AD25 AD36:AD52 AE24:AO24 AD54:AD1048576 AD13:AD18 AD27:AD34">
    <cfRule type="containsText" dxfId="244" priority="24" operator="containsText" text="OK">
      <formula>NOT(ISERROR(SEARCH("OK",AD1)))</formula>
    </cfRule>
  </conditionalFormatting>
  <conditionalFormatting sqref="AD1:AD11 AD21:AD25 AD36:AD52 AE24:AO24 AD54:AD1048576 AD13:AD18 AD27:AD34">
    <cfRule type="containsText" dxfId="243" priority="23" operator="containsText" text="X">
      <formula>NOT(ISERROR(SEARCH("X",AD1)))</formula>
    </cfRule>
  </conditionalFormatting>
  <conditionalFormatting sqref="N1:N3 P1:P3 R1:R3 T1:T3 T36:T52 R36:R52 P36:P52 N36:N44 T5:T34 R5:R34 P5:P34 N5:N34 N46:N52 I53:K53 M53:Y53 I19:K19 T54:T1048576 M56:T57 L1:L5 M54:P55 L58:L1048576 N54:N1048576 P54:P1048576 R54:R1048576 AA53:AO53">
    <cfRule type="endsWith" dxfId="242" priority="22" operator="endsWith" text="%">
      <formula>RIGHT(I1,LEN("%"))="%"</formula>
    </cfRule>
  </conditionalFormatting>
  <conditionalFormatting sqref="H54">
    <cfRule type="duplicateValues" dxfId="241" priority="21"/>
  </conditionalFormatting>
  <conditionalFormatting sqref="G15">
    <cfRule type="duplicateValues" dxfId="240" priority="20"/>
  </conditionalFormatting>
  <conditionalFormatting sqref="G6:G14 G16:G53">
    <cfRule type="duplicateValues" dxfId="239" priority="83"/>
  </conditionalFormatting>
  <conditionalFormatting sqref="I7:K15 AP18:AQ18 I17:K17 I20:K52 M45:O45 I54:K56 J57:K57 M35:U35">
    <cfRule type="iconSet" priority="94">
      <iconSet iconSet="3TrafficLights2">
        <cfvo type="percent" val="0"/>
        <cfvo type="percent" val="33"/>
        <cfvo type="percent" val="67"/>
      </iconSet>
    </cfRule>
  </conditionalFormatting>
  <conditionalFormatting sqref="V54:Y57 Z54 Z56:Z57">
    <cfRule type="containsText" dxfId="238" priority="19" operator="containsText" text="Pendente">
      <formula>NOT(ISERROR(SEARCH("Pendente",V54)))</formula>
    </cfRule>
  </conditionalFormatting>
  <conditionalFormatting sqref="V54:Y57 Z54 Z56:Z57">
    <cfRule type="beginsWith" dxfId="237" priority="18" operator="beginsWith" text="GERENCIADO 100%">
      <formula>LEFT(V54,LEN("GERENCIADO 100%"))="GERENCIADO 100%"</formula>
    </cfRule>
  </conditionalFormatting>
  <conditionalFormatting sqref="V54:Y57 Z54 Z56:Z57">
    <cfRule type="containsText" dxfId="236" priority="17" operator="containsText" text="DESLIGADO">
      <formula>NOT(ISERROR(SEARCH("DESLIGADO",V54)))</formula>
    </cfRule>
  </conditionalFormatting>
  <conditionalFormatting sqref="V54:Y57 Z54 Z56:Z57">
    <cfRule type="containsText" dxfId="235" priority="16" operator="containsText" text="100%">
      <formula>NOT(ISERROR(SEARCH("100%",V54)))</formula>
    </cfRule>
  </conditionalFormatting>
  <conditionalFormatting sqref="V54:Y57 Z54 Z56:Z57">
    <cfRule type="endsWith" dxfId="234" priority="15" operator="endsWith" text="%">
      <formula>RIGHT(V54,LEN("%"))="%"</formula>
    </cfRule>
  </conditionalFormatting>
  <conditionalFormatting sqref="L36:L44 L19:L34 L46:L57 L7:L17">
    <cfRule type="containsText" dxfId="233" priority="13" operator="containsText" text="Pendente">
      <formula>NOT(ISERROR(SEARCH("Pendente",L7)))</formula>
    </cfRule>
  </conditionalFormatting>
  <conditionalFormatting sqref="L36:L44 L19:L34 L46:L57 L7:L17">
    <cfRule type="beginsWith" dxfId="232" priority="12" operator="beginsWith" text="GERENCIADO 100%">
      <formula>LEFT(L7,LEN("GERENCIADO 100%"))="GERENCIADO 100%"</formula>
    </cfRule>
  </conditionalFormatting>
  <conditionalFormatting sqref="L36:L44 L19:L34 L46:L57 L7:L17">
    <cfRule type="containsText" dxfId="231" priority="11" operator="containsText" text="DESLIGADO">
      <formula>NOT(ISERROR(SEARCH("DESLIGADO",L7)))</formula>
    </cfRule>
  </conditionalFormatting>
  <conditionalFormatting sqref="L36:L44 L19:L34 L46:L57 L7:L17">
    <cfRule type="containsText" dxfId="230" priority="10" operator="containsText" text="100%">
      <formula>NOT(ISERROR(SEARCH("100%",L7)))</formula>
    </cfRule>
  </conditionalFormatting>
  <conditionalFormatting sqref="L6">
    <cfRule type="containsText" dxfId="229" priority="9" operator="containsText" text="Pendente">
      <formula>NOT(ISERROR(SEARCH("Pendente",L6)))</formula>
    </cfRule>
  </conditionalFormatting>
  <conditionalFormatting sqref="L6">
    <cfRule type="beginsWith" dxfId="228" priority="8" operator="beginsWith" text="GERENCIADO 100%">
      <formula>LEFT(L6,LEN("GERENCIADO 100%"))="GERENCIADO 100%"</formula>
    </cfRule>
  </conditionalFormatting>
  <conditionalFormatting sqref="L6">
    <cfRule type="containsText" dxfId="227" priority="7" operator="containsText" text="DESLIGADO">
      <formula>NOT(ISERROR(SEARCH("DESLIGADO",L6)))</formula>
    </cfRule>
  </conditionalFormatting>
  <conditionalFormatting sqref="L6">
    <cfRule type="containsText" dxfId="226" priority="6" operator="containsText" text="100%">
      <formula>NOT(ISERROR(SEARCH("100%",L6)))</formula>
    </cfRule>
  </conditionalFormatting>
  <conditionalFormatting sqref="L18">
    <cfRule type="containsText" dxfId="225" priority="5" operator="containsText" text="Pendente">
      <formula>NOT(ISERROR(SEARCH("Pendente",L18)))</formula>
    </cfRule>
  </conditionalFormatting>
  <conditionalFormatting sqref="L18">
    <cfRule type="beginsWith" dxfId="224" priority="4" operator="beginsWith" text="GERENCIADO 100%">
      <formula>LEFT(L18,LEN("GERENCIADO 100%"))="GERENCIADO 100%"</formula>
    </cfRule>
  </conditionalFormatting>
  <conditionalFormatting sqref="L18">
    <cfRule type="containsText" dxfId="223" priority="3" operator="containsText" text="DESLIGADO">
      <formula>NOT(ISERROR(SEARCH("DESLIGADO",L18)))</formula>
    </cfRule>
  </conditionalFormatting>
  <conditionalFormatting sqref="L18">
    <cfRule type="containsText" dxfId="222" priority="2" operator="containsText" text="100%">
      <formula>NOT(ISERROR(SEARCH("100%",L18)))</formula>
    </cfRule>
  </conditionalFormatting>
  <conditionalFormatting sqref="L36:L44 L46:L57 L6:L34">
    <cfRule type="endsWith" dxfId="221" priority="1" operator="endsWith" text="%">
      <formula>RIGHT(L6,LEN("%"))="%"</formula>
    </cfRule>
  </conditionalFormatting>
  <conditionalFormatting sqref="L35 L45">
    <cfRule type="iconSet" priority="14">
      <iconSet iconSet="3TrafficLights2">
        <cfvo type="percent" val="0"/>
        <cfvo type="percent" val="33"/>
        <cfvo type="percent" val="67"/>
      </iconSet>
    </cfRule>
  </conditionalFormatting>
  <dataValidations count="1">
    <dataValidation allowBlank="1" showInputMessage="1" showErrorMessage="1" sqref="AE1:AE5 AE46:AE50 AE17 AE41:AE44 AF57 AE66:AE1048576 AE36:AE39 AE13:AE15 AE52 AE20:AE23 AE54:AE64 AE7:AE11 AE25 AE27:AE34" xr:uid="{D9E135B5-37C7-4357-B610-CE886A03FD26}"/>
  </dataValidations>
  <pageMargins left="0.7" right="0.7" top="0.75" bottom="0.75" header="0.3" footer="0.3"/>
  <drawing r:id="rId1"/>
  <legacyDrawing r:id="rId2"/>
  <tableParts count="2"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30876B7-9CD6-418C-BB8B-2075700D7945}">
          <x14:formula1>
            <xm:f>'BASE DE DADOS'!$D$4:$D$6</xm:f>
          </x14:formula1>
          <xm:sqref>AA36:AD39 AA41:AD44 AA17:AD17 AA52:AD52 AA54:AD57 AA13:AD15 AE24:AO24 AA46:AD50 AA7:AD11 AA21:AD25 AA27:AD34</xm:sqref>
        </x14:dataValidation>
        <x14:dataValidation type="list" allowBlank="1" showInputMessage="1" showErrorMessage="1" xr:uid="{F98A734E-E5FB-44B0-A142-C8F995B61913}">
          <x14:formula1>
            <xm:f>'BASE DE DADOS'!$D$4:$D$7</xm:f>
          </x14:formula1>
          <xm:sqref>V1:Z5 W36:Z39 V58:Z1048576 V41:Z44 V17:Z17 AA12:AO12 Z27:Z34 V20:V39 AA20:AD20 AA35:AO35 Z55 V46:Z50 V7:V15 Z25 W7:Z11 W13:Z15 W20:X35 AA26:AO26 W12:Y12 Y20:Y23 Y25:Y34 Z21:Z23 V52:Z52</xm:sqref>
        </x14:dataValidation>
        <x14:dataValidation type="list" allowBlank="1" showInputMessage="1" showErrorMessage="1" xr:uid="{116681A8-9D63-4F39-BB4B-D74D947446B4}">
          <x14:formula1>
            <xm:f>'BASE DE DADOS'!$B$17:$B$18</xm:f>
          </x14:formula1>
          <xm:sqref>AN1:AO5 AM5 AM46:AO50 AM17:AO17 AM41:AO44 AN54:AO1048576 AM13:AO15 AM36:AO39 AM54:AM57 AM52:AO52 AM20:AO23 AM7:AO11 AM25:AO25 AM27:AO34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59205-2AD1-4B51-8A14-2EE45F2894EA}">
  <dimension ref="D11"/>
  <sheetViews>
    <sheetView workbookViewId="0">
      <selection activeCell="Q16" sqref="Q16"/>
    </sheetView>
  </sheetViews>
  <sheetFormatPr defaultRowHeight="15"/>
  <cols>
    <col min="4" max="4" width="71.85546875" customWidth="1"/>
  </cols>
  <sheetData>
    <row r="11" spans="4:4" ht="60.75">
      <c r="D11" s="50" t="s">
        <v>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004E3-9AFA-4ADB-9447-5104C0EE0261}">
  <dimension ref="A2:B2"/>
  <sheetViews>
    <sheetView workbookViewId="0">
      <selection activeCell="B3" sqref="B3"/>
    </sheetView>
  </sheetViews>
  <sheetFormatPr defaultRowHeight="15"/>
  <cols>
    <col min="1" max="1" width="9.5703125" bestFit="1" customWidth="1"/>
    <col min="2" max="2" width="36.5703125" bestFit="1" customWidth="1"/>
  </cols>
  <sheetData>
    <row r="2" spans="1:2" ht="30.75">
      <c r="A2" t="s">
        <v>195</v>
      </c>
      <c r="B2" s="50" t="s">
        <v>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2C7DD-8D5A-4814-9C1A-79F8F2E86359}">
  <dimension ref="B4:AP69"/>
  <sheetViews>
    <sheetView tabSelected="1" topLeftCell="F37" workbookViewId="0">
      <selection activeCell="Q40" sqref="Q40:Q54"/>
    </sheetView>
  </sheetViews>
  <sheetFormatPr defaultColWidth="9.140625" defaultRowHeight="15"/>
  <cols>
    <col min="2" max="2" width="17.5703125" customWidth="1"/>
    <col min="3" max="3" width="12.28515625" bestFit="1" customWidth="1"/>
    <col min="4" max="4" width="28" style="172" bestFit="1" customWidth="1"/>
    <col min="5" max="5" width="18.42578125" style="172" customWidth="1"/>
    <col min="6" max="6" width="53.7109375" style="173" bestFit="1" customWidth="1"/>
    <col min="7" max="7" width="42.7109375" style="172" bestFit="1" customWidth="1"/>
    <col min="8" max="8" width="14" style="155" hidden="1" customWidth="1"/>
    <col min="9" max="9" width="13.28515625" hidden="1" customWidth="1"/>
    <col min="10" max="10" width="18.5703125" hidden="1" customWidth="1"/>
    <col min="11" max="11" width="27.42578125" hidden="1" customWidth="1"/>
    <col min="12" max="12" width="61.7109375" hidden="1" customWidth="1"/>
    <col min="13" max="13" width="20.28515625" hidden="1" customWidth="1"/>
    <col min="14" max="14" width="14.42578125" hidden="1" customWidth="1"/>
    <col min="15" max="15" width="26.42578125" style="1" hidden="1" customWidth="1"/>
    <col min="16" max="16" width="0.140625" hidden="1" customWidth="1"/>
    <col min="17" max="17" width="17.7109375" style="8" customWidth="1"/>
    <col min="18" max="18" width="9" customWidth="1"/>
    <col min="19" max="19" width="17.140625" customWidth="1"/>
    <col min="20" max="20" width="13.42578125" customWidth="1"/>
    <col min="21" max="21" width="17.42578125" hidden="1" customWidth="1"/>
    <col min="22" max="22" width="17.28515625" hidden="1" customWidth="1"/>
    <col min="23" max="29" width="0" hidden="1" customWidth="1"/>
    <col min="30" max="30" width="15.85546875" hidden="1" customWidth="1"/>
    <col min="31" max="31" width="18.7109375" hidden="1" customWidth="1"/>
    <col min="32" max="32" width="14.85546875" hidden="1" customWidth="1"/>
    <col min="33" max="33" width="27" hidden="1" customWidth="1"/>
    <col min="34" max="34" width="0" hidden="1" customWidth="1"/>
    <col min="35" max="35" width="36.85546875" hidden="1" customWidth="1"/>
    <col min="36" max="36" width="31.28515625" hidden="1" customWidth="1"/>
    <col min="37" max="37" width="23.5703125" hidden="1" customWidth="1"/>
    <col min="38" max="40" width="0" hidden="1" customWidth="1"/>
    <col min="41" max="41" width="13.85546875" hidden="1" customWidth="1"/>
    <col min="42" max="42" width="19.140625" hidden="1" customWidth="1"/>
  </cols>
  <sheetData>
    <row r="4" spans="2:42" s="151" customFormat="1" ht="81.75" customHeight="1">
      <c r="B4" s="105" t="s">
        <v>37</v>
      </c>
      <c r="C4" s="105" t="s">
        <v>197</v>
      </c>
      <c r="D4" s="174" t="s">
        <v>39</v>
      </c>
      <c r="E4" s="175" t="s">
        <v>40</v>
      </c>
      <c r="F4" s="176" t="s">
        <v>41</v>
      </c>
      <c r="G4" s="177" t="s">
        <v>42</v>
      </c>
      <c r="H4" s="6" t="s">
        <v>198</v>
      </c>
      <c r="I4" s="6" t="s">
        <v>199</v>
      </c>
      <c r="J4" s="6" t="s">
        <v>200</v>
      </c>
      <c r="K4" s="109" t="s">
        <v>46</v>
      </c>
      <c r="L4" s="36" t="s">
        <v>47</v>
      </c>
      <c r="M4" s="109" t="s">
        <v>48</v>
      </c>
      <c r="N4" s="36" t="s">
        <v>49</v>
      </c>
      <c r="O4" s="109" t="s">
        <v>50</v>
      </c>
      <c r="P4" s="36" t="s">
        <v>51</v>
      </c>
      <c r="Q4" s="109" t="s">
        <v>52</v>
      </c>
      <c r="R4" s="36" t="s">
        <v>53</v>
      </c>
      <c r="S4" s="109" t="s">
        <v>54</v>
      </c>
      <c r="T4" s="36" t="s">
        <v>55</v>
      </c>
      <c r="U4" s="110" t="s">
        <v>56</v>
      </c>
      <c r="V4" s="110" t="s">
        <v>57</v>
      </c>
      <c r="W4" s="111" t="s">
        <v>58</v>
      </c>
      <c r="X4" s="111" t="s">
        <v>59</v>
      </c>
      <c r="Y4" s="111" t="s">
        <v>60</v>
      </c>
      <c r="Z4" s="112" t="s">
        <v>61</v>
      </c>
      <c r="AA4" s="113" t="s">
        <v>62</v>
      </c>
      <c r="AB4" s="114" t="s">
        <v>63</v>
      </c>
      <c r="AC4" s="115" t="s">
        <v>64</v>
      </c>
      <c r="AD4" s="116" t="s">
        <v>65</v>
      </c>
      <c r="AE4" s="117" t="s">
        <v>66</v>
      </c>
      <c r="AF4" s="103" t="s">
        <v>67</v>
      </c>
      <c r="AG4" s="104" t="s">
        <v>68</v>
      </c>
      <c r="AH4" s="104" t="s">
        <v>69</v>
      </c>
      <c r="AI4" s="103" t="s">
        <v>70</v>
      </c>
      <c r="AJ4" s="103" t="s">
        <v>71</v>
      </c>
      <c r="AK4" s="104" t="s">
        <v>72</v>
      </c>
      <c r="AL4" s="104" t="s">
        <v>73</v>
      </c>
      <c r="AM4" s="104" t="s">
        <v>74</v>
      </c>
      <c r="AN4" s="104" t="s">
        <v>75</v>
      </c>
      <c r="AO4" s="118" t="s">
        <v>76</v>
      </c>
      <c r="AP4" s="119" t="s">
        <v>77</v>
      </c>
    </row>
    <row r="5" spans="2:42" ht="17.25" hidden="1">
      <c r="B5" s="56"/>
      <c r="C5" s="56"/>
      <c r="D5" s="44" t="s">
        <v>78</v>
      </c>
      <c r="E5" s="45" t="s">
        <v>79</v>
      </c>
      <c r="F5" s="152" t="s">
        <v>80</v>
      </c>
      <c r="G5" s="46" t="s">
        <v>81</v>
      </c>
      <c r="H5" s="166"/>
      <c r="I5" s="166"/>
      <c r="J5" s="166"/>
      <c r="K5" s="166" t="s">
        <v>201</v>
      </c>
      <c r="L5" s="166" t="s">
        <v>201</v>
      </c>
      <c r="M5" s="166" t="s">
        <v>201</v>
      </c>
      <c r="N5" s="166" t="s">
        <v>9</v>
      </c>
      <c r="O5" s="166" t="s">
        <v>9</v>
      </c>
      <c r="P5" s="12" t="s">
        <v>9</v>
      </c>
      <c r="Q5" s="12" t="s">
        <v>9</v>
      </c>
      <c r="R5" s="12" t="s">
        <v>9</v>
      </c>
      <c r="S5" s="12" t="s">
        <v>9</v>
      </c>
      <c r="T5" s="12" t="s">
        <v>9</v>
      </c>
      <c r="U5" s="12" t="s">
        <v>9</v>
      </c>
      <c r="V5" s="12" t="s">
        <v>9</v>
      </c>
      <c r="W5" s="12" t="s">
        <v>9</v>
      </c>
      <c r="X5" s="12" t="s">
        <v>9</v>
      </c>
      <c r="Y5" s="12" t="s">
        <v>9</v>
      </c>
      <c r="Z5" s="12" t="s">
        <v>9</v>
      </c>
      <c r="AA5" s="12" t="s">
        <v>9</v>
      </c>
      <c r="AB5" s="12" t="s">
        <v>9</v>
      </c>
      <c r="AC5" s="12" t="s">
        <v>9</v>
      </c>
      <c r="AD5" s="57" t="s">
        <v>9</v>
      </c>
      <c r="AE5" s="12" t="s">
        <v>9</v>
      </c>
      <c r="AF5" s="53" t="s">
        <v>9</v>
      </c>
      <c r="AG5" s="12" t="s">
        <v>9</v>
      </c>
      <c r="AH5" s="12" t="s">
        <v>9</v>
      </c>
      <c r="AI5" s="12" t="s">
        <v>9</v>
      </c>
      <c r="AJ5" s="12" t="s">
        <v>9</v>
      </c>
      <c r="AK5" s="12" t="s">
        <v>9</v>
      </c>
      <c r="AL5" s="12" t="s">
        <v>9</v>
      </c>
      <c r="AM5" s="12" t="s">
        <v>9</v>
      </c>
      <c r="AN5" s="12" t="s">
        <v>9</v>
      </c>
      <c r="AO5" s="57" t="s">
        <v>82</v>
      </c>
      <c r="AP5" s="57"/>
    </row>
    <row r="6" spans="2:42" ht="39" hidden="1" customHeight="1">
      <c r="B6" s="73"/>
      <c r="C6" s="73"/>
      <c r="D6" s="74" t="s">
        <v>83</v>
      </c>
      <c r="E6" s="75" t="s">
        <v>84</v>
      </c>
      <c r="F6" s="122" t="s">
        <v>80</v>
      </c>
      <c r="G6" s="76" t="s">
        <v>85</v>
      </c>
      <c r="H6" s="149" t="s">
        <v>202</v>
      </c>
      <c r="I6" s="48" t="s">
        <v>203</v>
      </c>
      <c r="J6" s="48"/>
      <c r="K6" s="125" t="s">
        <v>87</v>
      </c>
      <c r="L6" s="149" t="s">
        <v>202</v>
      </c>
      <c r="M6" s="167" t="s">
        <v>97</v>
      </c>
      <c r="N6" s="126"/>
      <c r="O6" s="168" t="s">
        <v>90</v>
      </c>
      <c r="P6" s="10"/>
      <c r="Q6" s="198" t="s">
        <v>109</v>
      </c>
      <c r="R6" s="5"/>
      <c r="S6" s="199"/>
      <c r="T6" s="127"/>
      <c r="U6" s="200" t="s">
        <v>7</v>
      </c>
      <c r="V6" s="200" t="s">
        <v>7</v>
      </c>
      <c r="W6" s="200" t="s">
        <v>7</v>
      </c>
      <c r="X6" s="200" t="s">
        <v>7</v>
      </c>
      <c r="Y6" s="200" t="s">
        <v>7</v>
      </c>
      <c r="Z6" s="200" t="s">
        <v>5</v>
      </c>
      <c r="AA6" s="200" t="s">
        <v>5</v>
      </c>
      <c r="AB6" s="200" t="s">
        <v>5</v>
      </c>
      <c r="AC6" s="197" t="s">
        <v>5</v>
      </c>
      <c r="AD6" s="202"/>
      <c r="AE6" s="203"/>
      <c r="AF6" s="204"/>
      <c r="AG6" s="78"/>
      <c r="AH6" s="79"/>
      <c r="AI6" s="79"/>
      <c r="AJ6" s="80">
        <f>(AI6)+20</f>
        <v>20</v>
      </c>
      <c r="AK6" s="81"/>
      <c r="AL6" s="82"/>
      <c r="AM6" s="81"/>
      <c r="AN6" s="81"/>
      <c r="AO6" s="83"/>
      <c r="AP6" s="84"/>
    </row>
    <row r="7" spans="2:42" ht="17.25">
      <c r="B7" s="73"/>
      <c r="C7" s="73"/>
      <c r="D7" s="74" t="s">
        <v>83</v>
      </c>
      <c r="E7" s="75" t="s">
        <v>84</v>
      </c>
      <c r="F7" s="76" t="s">
        <v>92</v>
      </c>
      <c r="G7" s="76" t="s">
        <v>93</v>
      </c>
      <c r="H7" s="48"/>
      <c r="I7" s="48"/>
      <c r="J7" s="48"/>
      <c r="K7" s="125" t="s">
        <v>94</v>
      </c>
      <c r="L7" s="126"/>
      <c r="M7" s="169" t="s">
        <v>204</v>
      </c>
      <c r="N7" s="126"/>
      <c r="O7" s="170" t="s">
        <v>90</v>
      </c>
      <c r="P7" s="12"/>
      <c r="Q7" s="200" t="s">
        <v>97</v>
      </c>
      <c r="R7" s="5"/>
      <c r="S7" s="199"/>
      <c r="T7" s="127"/>
      <c r="U7" s="200" t="s">
        <v>7</v>
      </c>
      <c r="V7" s="200" t="s">
        <v>7</v>
      </c>
      <c r="W7" s="200" t="s">
        <v>7</v>
      </c>
      <c r="X7" s="200" t="s">
        <v>7</v>
      </c>
      <c r="Y7" s="200" t="s">
        <v>7</v>
      </c>
      <c r="Z7" s="200" t="s">
        <v>5</v>
      </c>
      <c r="AA7" s="200" t="s">
        <v>5</v>
      </c>
      <c r="AB7" s="200" t="s">
        <v>5</v>
      </c>
      <c r="AC7" s="197" t="s">
        <v>5</v>
      </c>
      <c r="AD7" s="202"/>
      <c r="AE7" s="203"/>
      <c r="AF7" s="204"/>
      <c r="AG7" s="78"/>
      <c r="AH7" s="79"/>
      <c r="AI7" s="80"/>
      <c r="AJ7" s="80">
        <f>(AI7)+20</f>
        <v>20</v>
      </c>
      <c r="AK7" s="81"/>
      <c r="AL7" s="82"/>
      <c r="AM7" s="81"/>
      <c r="AN7" s="81"/>
      <c r="AO7" s="83"/>
      <c r="AP7" s="84"/>
    </row>
    <row r="8" spans="2:42" ht="45" hidden="1" customHeight="1">
      <c r="B8" s="73"/>
      <c r="C8" s="73"/>
      <c r="D8" s="74" t="s">
        <v>78</v>
      </c>
      <c r="E8" s="75" t="s">
        <v>79</v>
      </c>
      <c r="F8" s="76" t="s">
        <v>96</v>
      </c>
      <c r="G8" s="76" t="s">
        <v>32</v>
      </c>
      <c r="H8" s="128" t="s">
        <v>205</v>
      </c>
      <c r="I8" s="47"/>
      <c r="J8" s="47"/>
      <c r="K8" s="125" t="s">
        <v>97</v>
      </c>
      <c r="L8" s="128" t="s">
        <v>205</v>
      </c>
      <c r="M8" s="169" t="s">
        <v>97</v>
      </c>
      <c r="N8" s="128" t="s">
        <v>205</v>
      </c>
      <c r="O8" s="170" t="s">
        <v>9</v>
      </c>
      <c r="P8" s="12"/>
      <c r="Q8" s="205" t="s">
        <v>9</v>
      </c>
      <c r="R8" s="7"/>
      <c r="S8" s="205"/>
      <c r="T8" s="7"/>
      <c r="U8" s="200" t="s">
        <v>7</v>
      </c>
      <c r="V8" s="206" t="s">
        <v>7</v>
      </c>
      <c r="W8" s="200" t="s">
        <v>7</v>
      </c>
      <c r="X8" s="200" t="s">
        <v>7</v>
      </c>
      <c r="Y8" s="200" t="s">
        <v>7</v>
      </c>
      <c r="Z8" s="200" t="s">
        <v>5</v>
      </c>
      <c r="AA8" s="200" t="s">
        <v>5</v>
      </c>
      <c r="AB8" s="200" t="s">
        <v>5</v>
      </c>
      <c r="AC8" s="197" t="s">
        <v>5</v>
      </c>
      <c r="AD8" s="202"/>
      <c r="AE8" s="203"/>
      <c r="AF8" s="204"/>
      <c r="AG8" s="85"/>
      <c r="AH8" s="86"/>
      <c r="AI8" s="87"/>
      <c r="AJ8" s="80">
        <f>(AI8)+20</f>
        <v>20</v>
      </c>
      <c r="AK8" s="81"/>
      <c r="AL8" s="82"/>
      <c r="AM8" s="81"/>
      <c r="AN8" s="81"/>
      <c r="AO8" s="83"/>
      <c r="AP8" s="84"/>
    </row>
    <row r="9" spans="2:42" ht="60.75">
      <c r="B9" s="73"/>
      <c r="C9" s="73"/>
      <c r="D9" s="74" t="s">
        <v>78</v>
      </c>
      <c r="E9" s="75" t="s">
        <v>79</v>
      </c>
      <c r="F9" s="76" t="s">
        <v>99</v>
      </c>
      <c r="G9" s="76" t="s">
        <v>20</v>
      </c>
      <c r="H9" s="128" t="s">
        <v>206</v>
      </c>
      <c r="I9" s="47"/>
      <c r="J9" s="47"/>
      <c r="K9" s="125" t="s">
        <v>97</v>
      </c>
      <c r="L9" s="128" t="s">
        <v>206</v>
      </c>
      <c r="M9" s="169" t="s">
        <v>97</v>
      </c>
      <c r="N9" s="128" t="s">
        <v>206</v>
      </c>
      <c r="O9" s="170" t="s">
        <v>207</v>
      </c>
      <c r="P9" s="12"/>
      <c r="Q9" s="205" t="s">
        <v>97</v>
      </c>
      <c r="R9" s="7"/>
      <c r="S9" s="205"/>
      <c r="T9" s="129"/>
      <c r="U9" s="200" t="s">
        <v>7</v>
      </c>
      <c r="V9" s="200" t="s">
        <v>7</v>
      </c>
      <c r="W9" s="200" t="s">
        <v>7</v>
      </c>
      <c r="X9" s="200" t="s">
        <v>7</v>
      </c>
      <c r="Y9" s="200" t="s">
        <v>7</v>
      </c>
      <c r="Z9" s="200" t="s">
        <v>5</v>
      </c>
      <c r="AA9" s="200" t="s">
        <v>5</v>
      </c>
      <c r="AB9" s="200" t="s">
        <v>5</v>
      </c>
      <c r="AC9" s="197" t="s">
        <v>5</v>
      </c>
      <c r="AD9" s="202"/>
      <c r="AE9" s="203"/>
      <c r="AF9" s="204"/>
      <c r="AG9" s="85"/>
      <c r="AH9" s="86"/>
      <c r="AI9" s="87"/>
      <c r="AJ9" s="80">
        <f>(AI9)+20</f>
        <v>20</v>
      </c>
      <c r="AK9" s="81"/>
      <c r="AL9" s="82"/>
      <c r="AM9" s="81"/>
      <c r="AN9" s="81"/>
      <c r="AO9" s="83"/>
      <c r="AP9" s="84"/>
    </row>
    <row r="10" spans="2:42">
      <c r="B10" s="73"/>
      <c r="C10" s="73"/>
      <c r="D10" s="74" t="s">
        <v>101</v>
      </c>
      <c r="E10" s="75" t="s">
        <v>102</v>
      </c>
      <c r="F10" s="179" t="s">
        <v>99</v>
      </c>
      <c r="G10" s="76" t="s">
        <v>103</v>
      </c>
      <c r="H10" s="47"/>
      <c r="I10" s="47"/>
      <c r="J10" s="47"/>
      <c r="K10" s="125" t="s">
        <v>97</v>
      </c>
      <c r="L10" s="128"/>
      <c r="M10" s="171" t="s">
        <v>87</v>
      </c>
      <c r="N10" s="132"/>
      <c r="O10" s="170" t="s">
        <v>97</v>
      </c>
      <c r="P10" s="12"/>
      <c r="Q10" s="205" t="s">
        <v>97</v>
      </c>
      <c r="R10" s="7"/>
      <c r="S10" s="205"/>
      <c r="T10" s="130"/>
      <c r="U10" s="200" t="s">
        <v>7</v>
      </c>
      <c r="V10" s="206" t="s">
        <v>7</v>
      </c>
      <c r="W10" s="206" t="s">
        <v>7</v>
      </c>
      <c r="X10" s="200" t="s">
        <v>7</v>
      </c>
      <c r="Y10" s="200" t="s">
        <v>7</v>
      </c>
      <c r="Z10" s="200" t="s">
        <v>5</v>
      </c>
      <c r="AA10" s="200" t="s">
        <v>5</v>
      </c>
      <c r="AB10" s="200" t="s">
        <v>5</v>
      </c>
      <c r="AC10" s="197" t="s">
        <v>5</v>
      </c>
      <c r="AD10" s="202"/>
      <c r="AE10" s="203"/>
      <c r="AF10" s="204"/>
      <c r="AG10" s="85"/>
      <c r="AH10" s="86"/>
      <c r="AI10" s="87"/>
      <c r="AJ10" s="80">
        <f>(AI10)+20</f>
        <v>20</v>
      </c>
      <c r="AK10" s="81"/>
      <c r="AL10" s="82"/>
      <c r="AM10" s="81"/>
      <c r="AN10" s="81"/>
      <c r="AO10" s="83"/>
      <c r="AP10" s="84"/>
    </row>
    <row r="11" spans="2:42" hidden="1">
      <c r="B11" s="73"/>
      <c r="C11" s="73"/>
      <c r="D11" s="74" t="s">
        <v>78</v>
      </c>
      <c r="E11" s="75" t="s">
        <v>79</v>
      </c>
      <c r="F11" s="76" t="s">
        <v>104</v>
      </c>
      <c r="G11" s="76" t="s">
        <v>15</v>
      </c>
      <c r="H11" s="166" t="s">
        <v>9</v>
      </c>
      <c r="I11" s="166" t="s">
        <v>9</v>
      </c>
      <c r="J11" s="166" t="s">
        <v>9</v>
      </c>
      <c r="K11" s="166" t="s">
        <v>9</v>
      </c>
      <c r="L11" s="166" t="s">
        <v>9</v>
      </c>
      <c r="M11" s="166" t="s">
        <v>9</v>
      </c>
      <c r="N11" s="166" t="s">
        <v>9</v>
      </c>
      <c r="O11" s="166" t="s">
        <v>9</v>
      </c>
      <c r="P11" s="12" t="s">
        <v>9</v>
      </c>
      <c r="Q11" s="12" t="s">
        <v>9</v>
      </c>
      <c r="R11" s="12" t="s">
        <v>9</v>
      </c>
      <c r="S11" s="12" t="s">
        <v>9</v>
      </c>
      <c r="T11" s="12" t="s">
        <v>9</v>
      </c>
      <c r="U11" s="12" t="s">
        <v>9</v>
      </c>
      <c r="V11" s="12" t="s">
        <v>9</v>
      </c>
      <c r="W11" s="12" t="s">
        <v>9</v>
      </c>
      <c r="X11" s="12" t="s">
        <v>9</v>
      </c>
      <c r="Y11" s="12" t="s">
        <v>9</v>
      </c>
      <c r="Z11" s="12" t="s">
        <v>9</v>
      </c>
      <c r="AA11" s="12" t="s">
        <v>9</v>
      </c>
      <c r="AB11" s="12" t="s">
        <v>9</v>
      </c>
      <c r="AC11" s="12" t="s">
        <v>9</v>
      </c>
      <c r="AD11" s="12" t="s">
        <v>9</v>
      </c>
      <c r="AE11" s="12" t="s">
        <v>9</v>
      </c>
      <c r="AF11" s="12" t="s">
        <v>9</v>
      </c>
      <c r="AG11" s="12" t="s">
        <v>9</v>
      </c>
      <c r="AH11" s="12" t="s">
        <v>9</v>
      </c>
      <c r="AI11" s="12" t="s">
        <v>9</v>
      </c>
      <c r="AJ11" s="12" t="s">
        <v>9</v>
      </c>
      <c r="AK11" s="12" t="s">
        <v>9</v>
      </c>
      <c r="AL11" s="12" t="s">
        <v>9</v>
      </c>
      <c r="AM11" s="12" t="s">
        <v>9</v>
      </c>
      <c r="AN11" s="12" t="s">
        <v>9</v>
      </c>
      <c r="AO11" s="83">
        <v>46181</v>
      </c>
      <c r="AP11" s="84">
        <v>46181</v>
      </c>
    </row>
    <row r="12" spans="2:42" ht="17.25">
      <c r="B12" s="73"/>
      <c r="C12" s="73"/>
      <c r="D12" s="74" t="s">
        <v>83</v>
      </c>
      <c r="E12" s="75" t="s">
        <v>84</v>
      </c>
      <c r="F12" s="76" t="s">
        <v>104</v>
      </c>
      <c r="G12" s="76" t="s">
        <v>107</v>
      </c>
      <c r="H12" s="48"/>
      <c r="I12" s="48"/>
      <c r="J12" s="48"/>
      <c r="K12" s="125" t="s">
        <v>108</v>
      </c>
      <c r="L12" s="126"/>
      <c r="M12" s="169" t="s">
        <v>94</v>
      </c>
      <c r="N12" s="126"/>
      <c r="O12" s="170" t="s">
        <v>109</v>
      </c>
      <c r="P12" s="12" t="s">
        <v>208</v>
      </c>
      <c r="Q12" s="205" t="s">
        <v>97</v>
      </c>
      <c r="R12" s="5"/>
      <c r="S12" s="199"/>
      <c r="T12" s="127"/>
      <c r="U12" s="200" t="s">
        <v>7</v>
      </c>
      <c r="V12" s="200" t="s">
        <v>7</v>
      </c>
      <c r="W12" s="200" t="s">
        <v>7</v>
      </c>
      <c r="X12" s="200" t="s">
        <v>7</v>
      </c>
      <c r="Y12" s="200" t="s">
        <v>7</v>
      </c>
      <c r="Z12" s="200" t="s">
        <v>5</v>
      </c>
      <c r="AA12" s="200" t="s">
        <v>5</v>
      </c>
      <c r="AB12" s="200" t="s">
        <v>5</v>
      </c>
      <c r="AC12" s="197" t="s">
        <v>5</v>
      </c>
      <c r="AD12" s="202"/>
      <c r="AE12" s="203"/>
      <c r="AF12" s="204"/>
      <c r="AG12" s="85"/>
      <c r="AH12" s="86"/>
      <c r="AI12" s="87"/>
      <c r="AJ12" s="80">
        <f>(AI12)+20</f>
        <v>20</v>
      </c>
      <c r="AK12" s="81"/>
      <c r="AL12" s="82"/>
      <c r="AM12" s="81"/>
      <c r="AN12" s="81"/>
      <c r="AO12" s="83"/>
      <c r="AP12" s="84"/>
    </row>
    <row r="13" spans="2:42" hidden="1">
      <c r="B13" s="73"/>
      <c r="C13" s="73"/>
      <c r="D13" s="74" t="s">
        <v>83</v>
      </c>
      <c r="E13" s="75" t="s">
        <v>84</v>
      </c>
      <c r="F13" s="76" t="s">
        <v>110</v>
      </c>
      <c r="G13" s="76" t="s">
        <v>13</v>
      </c>
      <c r="H13" s="166"/>
      <c r="I13" s="166"/>
      <c r="J13" s="166"/>
      <c r="K13" s="166" t="s">
        <v>201</v>
      </c>
      <c r="L13" s="166" t="s">
        <v>201</v>
      </c>
      <c r="M13" s="166" t="s">
        <v>201</v>
      </c>
      <c r="N13" s="166" t="s">
        <v>9</v>
      </c>
      <c r="O13" s="166" t="s">
        <v>9</v>
      </c>
      <c r="P13" s="12" t="s">
        <v>9</v>
      </c>
      <c r="Q13" s="12" t="s">
        <v>9</v>
      </c>
      <c r="R13" s="12" t="s">
        <v>9</v>
      </c>
      <c r="S13" s="12" t="s">
        <v>9</v>
      </c>
      <c r="T13" s="12" t="s">
        <v>9</v>
      </c>
      <c r="U13" s="12" t="s">
        <v>9</v>
      </c>
      <c r="V13" s="12" t="s">
        <v>9</v>
      </c>
      <c r="W13" s="12" t="s">
        <v>9</v>
      </c>
      <c r="X13" s="12" t="s">
        <v>9</v>
      </c>
      <c r="Y13" s="12" t="s">
        <v>9</v>
      </c>
      <c r="Z13" s="12" t="s">
        <v>9</v>
      </c>
      <c r="AA13" s="12" t="s">
        <v>9</v>
      </c>
      <c r="AB13" s="12" t="s">
        <v>9</v>
      </c>
      <c r="AC13" s="12" t="s">
        <v>9</v>
      </c>
      <c r="AD13" s="57" t="s">
        <v>9</v>
      </c>
      <c r="AE13" s="196" t="s">
        <v>9</v>
      </c>
      <c r="AF13" s="196" t="s">
        <v>9</v>
      </c>
      <c r="AG13" s="196" t="s">
        <v>9</v>
      </c>
      <c r="AH13" s="196" t="s">
        <v>9</v>
      </c>
      <c r="AI13" s="196" t="s">
        <v>9</v>
      </c>
      <c r="AJ13" s="196" t="s">
        <v>9</v>
      </c>
      <c r="AK13" s="196" t="s">
        <v>9</v>
      </c>
      <c r="AL13" s="196" t="s">
        <v>9</v>
      </c>
      <c r="AM13" s="196" t="s">
        <v>9</v>
      </c>
      <c r="AN13" s="196" t="s">
        <v>9</v>
      </c>
      <c r="AO13" s="83"/>
      <c r="AP13" s="84"/>
    </row>
    <row r="14" spans="2:42">
      <c r="B14" s="73"/>
      <c r="C14" s="73"/>
      <c r="D14" s="74" t="s">
        <v>101</v>
      </c>
      <c r="E14" s="75" t="s">
        <v>102</v>
      </c>
      <c r="F14" s="123" t="s">
        <v>112</v>
      </c>
      <c r="G14" s="76" t="s">
        <v>113</v>
      </c>
      <c r="H14" s="47"/>
      <c r="I14" s="47"/>
      <c r="J14" s="47"/>
      <c r="K14" s="125" t="s">
        <v>108</v>
      </c>
      <c r="L14" s="128"/>
      <c r="M14" s="197" t="s">
        <v>209</v>
      </c>
      <c r="N14" s="11"/>
      <c r="O14" s="205" t="s">
        <v>97</v>
      </c>
      <c r="P14" s="12"/>
      <c r="Q14" s="198" t="s">
        <v>97</v>
      </c>
      <c r="R14" s="37"/>
      <c r="S14" s="205"/>
      <c r="T14" s="129"/>
      <c r="U14" s="200" t="s">
        <v>7</v>
      </c>
      <c r="V14" s="206" t="s">
        <v>7</v>
      </c>
      <c r="W14" s="200" t="s">
        <v>7</v>
      </c>
      <c r="X14" s="200" t="s">
        <v>7</v>
      </c>
      <c r="Y14" s="200" t="s">
        <v>7</v>
      </c>
      <c r="Z14" s="200" t="s">
        <v>5</v>
      </c>
      <c r="AA14" s="200" t="s">
        <v>5</v>
      </c>
      <c r="AB14" s="200" t="s">
        <v>5</v>
      </c>
      <c r="AC14" s="197" t="s">
        <v>5</v>
      </c>
      <c r="AD14" s="202"/>
      <c r="AE14" s="203"/>
      <c r="AF14" s="204"/>
      <c r="AG14" s="85"/>
      <c r="AH14" s="86"/>
      <c r="AI14" s="87"/>
      <c r="AJ14" s="80">
        <f>(AI14)+20</f>
        <v>20</v>
      </c>
      <c r="AK14" s="81"/>
      <c r="AL14" s="82"/>
      <c r="AM14" s="81"/>
      <c r="AN14" s="81"/>
      <c r="AO14" s="83"/>
      <c r="AP14" s="84"/>
    </row>
    <row r="15" spans="2:42" ht="17.25" hidden="1">
      <c r="B15" s="56"/>
      <c r="C15" s="56"/>
      <c r="D15" s="44" t="s">
        <v>83</v>
      </c>
      <c r="E15" s="45" t="s">
        <v>84</v>
      </c>
      <c r="F15" s="46" t="s">
        <v>114</v>
      </c>
      <c r="G15" s="46" t="s">
        <v>115</v>
      </c>
      <c r="H15" s="12"/>
      <c r="I15" s="12"/>
      <c r="J15" s="12"/>
      <c r="K15" s="12" t="s">
        <v>201</v>
      </c>
      <c r="L15" s="12" t="s">
        <v>201</v>
      </c>
      <c r="M15" s="12" t="s">
        <v>201</v>
      </c>
      <c r="N15" s="12" t="s">
        <v>9</v>
      </c>
      <c r="O15" s="12" t="s">
        <v>9</v>
      </c>
      <c r="P15" s="12" t="s">
        <v>9</v>
      </c>
      <c r="Q15" s="12" t="s">
        <v>9</v>
      </c>
      <c r="R15" s="12" t="s">
        <v>9</v>
      </c>
      <c r="S15" s="12" t="s">
        <v>9</v>
      </c>
      <c r="T15" s="12" t="s">
        <v>9</v>
      </c>
      <c r="U15" s="12" t="s">
        <v>9</v>
      </c>
      <c r="V15" s="12" t="s">
        <v>9</v>
      </c>
      <c r="W15" s="12" t="s">
        <v>9</v>
      </c>
      <c r="X15" s="12" t="s">
        <v>9</v>
      </c>
      <c r="Y15" s="12" t="s">
        <v>9</v>
      </c>
      <c r="Z15" s="12" t="s">
        <v>9</v>
      </c>
      <c r="AA15" s="12" t="s">
        <v>9</v>
      </c>
      <c r="AB15" s="12" t="s">
        <v>9</v>
      </c>
      <c r="AC15" s="12" t="s">
        <v>9</v>
      </c>
      <c r="AD15" s="57" t="s">
        <v>9</v>
      </c>
      <c r="AE15" s="13" t="s">
        <v>9</v>
      </c>
      <c r="AF15" s="54" t="s">
        <v>9</v>
      </c>
      <c r="AG15" s="13" t="s">
        <v>9</v>
      </c>
      <c r="AH15" s="13" t="s">
        <v>9</v>
      </c>
      <c r="AI15" s="13" t="s">
        <v>9</v>
      </c>
      <c r="AJ15" s="13" t="s">
        <v>9</v>
      </c>
      <c r="AK15" s="13" t="s">
        <v>9</v>
      </c>
      <c r="AL15" s="13" t="s">
        <v>9</v>
      </c>
      <c r="AM15" s="13" t="s">
        <v>9</v>
      </c>
      <c r="AN15" s="13" t="s">
        <v>9</v>
      </c>
      <c r="AO15" s="59">
        <v>46139</v>
      </c>
      <c r="AP15" s="60" t="s">
        <v>116</v>
      </c>
    </row>
    <row r="16" spans="2:42" ht="17.25" hidden="1">
      <c r="B16" s="73"/>
      <c r="C16" s="73"/>
      <c r="D16" s="74" t="s">
        <v>101</v>
      </c>
      <c r="E16" s="75" t="s">
        <v>102</v>
      </c>
      <c r="F16" s="76" t="s">
        <v>117</v>
      </c>
      <c r="G16" s="76" t="s">
        <v>118</v>
      </c>
      <c r="H16" s="48"/>
      <c r="I16" s="48"/>
      <c r="J16" s="48"/>
      <c r="K16" s="125" t="s">
        <v>106</v>
      </c>
      <c r="L16" s="128"/>
      <c r="M16" s="207" t="s">
        <v>109</v>
      </c>
      <c r="N16" s="11"/>
      <c r="O16" s="205" t="s">
        <v>90</v>
      </c>
      <c r="P16" s="12"/>
      <c r="Q16" s="205" t="s">
        <v>109</v>
      </c>
      <c r="R16" s="7"/>
      <c r="S16" s="205"/>
      <c r="T16" s="129"/>
      <c r="U16" s="200" t="s">
        <v>7</v>
      </c>
      <c r="V16" s="206" t="s">
        <v>7</v>
      </c>
      <c r="W16" s="200" t="s">
        <v>7</v>
      </c>
      <c r="X16" s="200" t="s">
        <v>7</v>
      </c>
      <c r="Y16" s="200" t="s">
        <v>7</v>
      </c>
      <c r="Z16" s="200" t="s">
        <v>5</v>
      </c>
      <c r="AA16" s="200" t="s">
        <v>5</v>
      </c>
      <c r="AB16" s="200" t="s">
        <v>5</v>
      </c>
      <c r="AC16" s="197" t="s">
        <v>5</v>
      </c>
      <c r="AD16" s="202"/>
      <c r="AE16" s="203"/>
      <c r="AF16" s="204"/>
      <c r="AG16" s="85"/>
      <c r="AH16" s="86"/>
      <c r="AI16" s="86"/>
      <c r="AJ16" s="86"/>
      <c r="AK16" s="81"/>
      <c r="AL16" s="82"/>
      <c r="AM16" s="81"/>
      <c r="AN16" s="81"/>
      <c r="AO16" s="83"/>
      <c r="AP16" s="84"/>
    </row>
    <row r="17" spans="2:42" ht="17.25" hidden="1">
      <c r="B17" s="56"/>
      <c r="C17" s="56"/>
      <c r="D17" s="44" t="s">
        <v>78</v>
      </c>
      <c r="E17" s="45" t="s">
        <v>79</v>
      </c>
      <c r="F17" s="46" t="s">
        <v>120</v>
      </c>
      <c r="G17" s="46" t="s">
        <v>121</v>
      </c>
      <c r="H17" s="12"/>
      <c r="I17" s="12"/>
      <c r="J17" s="12"/>
      <c r="K17" s="12" t="s">
        <v>201</v>
      </c>
      <c r="L17" s="12" t="s">
        <v>201</v>
      </c>
      <c r="M17" s="12" t="s">
        <v>201</v>
      </c>
      <c r="N17" s="12" t="s">
        <v>9</v>
      </c>
      <c r="O17" s="12" t="s">
        <v>9</v>
      </c>
      <c r="P17" s="12" t="s">
        <v>9</v>
      </c>
      <c r="Q17" s="12" t="s">
        <v>9</v>
      </c>
      <c r="R17" s="12" t="s">
        <v>9</v>
      </c>
      <c r="S17" s="12" t="s">
        <v>9</v>
      </c>
      <c r="T17" s="12" t="s">
        <v>9</v>
      </c>
      <c r="U17" s="12" t="s">
        <v>9</v>
      </c>
      <c r="V17" s="12" t="s">
        <v>9</v>
      </c>
      <c r="W17" s="12" t="s">
        <v>9</v>
      </c>
      <c r="X17" s="12" t="s">
        <v>9</v>
      </c>
      <c r="Y17" s="12" t="s">
        <v>9</v>
      </c>
      <c r="Z17" s="12" t="s">
        <v>9</v>
      </c>
      <c r="AA17" s="12" t="s">
        <v>9</v>
      </c>
      <c r="AB17" s="12" t="s">
        <v>9</v>
      </c>
      <c r="AC17" s="12" t="s">
        <v>9</v>
      </c>
      <c r="AD17" s="57" t="s">
        <v>9</v>
      </c>
      <c r="AE17" s="12" t="s">
        <v>9</v>
      </c>
      <c r="AF17" s="53" t="s">
        <v>9</v>
      </c>
      <c r="AG17" s="12" t="s">
        <v>9</v>
      </c>
      <c r="AH17" s="12" t="s">
        <v>9</v>
      </c>
      <c r="AI17" s="12" t="s">
        <v>9</v>
      </c>
      <c r="AJ17" s="12" t="s">
        <v>9</v>
      </c>
      <c r="AK17" s="12" t="s">
        <v>9</v>
      </c>
      <c r="AL17" s="12" t="s">
        <v>9</v>
      </c>
      <c r="AM17" s="12" t="s">
        <v>9</v>
      </c>
      <c r="AN17" s="12" t="s">
        <v>9</v>
      </c>
      <c r="AO17" s="61"/>
      <c r="AP17" s="61"/>
    </row>
    <row r="18" spans="2:42" ht="17.25" hidden="1">
      <c r="B18" s="56"/>
      <c r="C18" s="56"/>
      <c r="D18" s="44" t="s">
        <v>83</v>
      </c>
      <c r="E18" s="45" t="s">
        <v>84</v>
      </c>
      <c r="F18" s="46" t="s">
        <v>120</v>
      </c>
      <c r="G18" s="46" t="s">
        <v>122</v>
      </c>
      <c r="H18" s="12"/>
      <c r="I18" s="12"/>
      <c r="J18" s="12"/>
      <c r="K18" s="12" t="s">
        <v>201</v>
      </c>
      <c r="L18" s="12" t="s">
        <v>201</v>
      </c>
      <c r="M18" s="12" t="s">
        <v>201</v>
      </c>
      <c r="N18" s="12" t="s">
        <v>9</v>
      </c>
      <c r="O18" s="12" t="s">
        <v>9</v>
      </c>
      <c r="P18" s="12" t="s">
        <v>9</v>
      </c>
      <c r="Q18" s="12" t="s">
        <v>9</v>
      </c>
      <c r="R18" s="12" t="s">
        <v>9</v>
      </c>
      <c r="S18" s="12" t="s">
        <v>9</v>
      </c>
      <c r="T18" s="12" t="s">
        <v>9</v>
      </c>
      <c r="U18" s="12" t="s">
        <v>9</v>
      </c>
      <c r="V18" s="12" t="s">
        <v>9</v>
      </c>
      <c r="W18" s="12" t="s">
        <v>9</v>
      </c>
      <c r="X18" s="12" t="s">
        <v>9</v>
      </c>
      <c r="Y18" s="12" t="s">
        <v>9</v>
      </c>
      <c r="Z18" s="12" t="s">
        <v>9</v>
      </c>
      <c r="AA18" s="12" t="s">
        <v>9</v>
      </c>
      <c r="AB18" s="12" t="s">
        <v>9</v>
      </c>
      <c r="AC18" s="12" t="s">
        <v>9</v>
      </c>
      <c r="AD18" s="57" t="s">
        <v>9</v>
      </c>
      <c r="AE18" s="5" t="s">
        <v>9</v>
      </c>
      <c r="AF18" s="5" t="s">
        <v>9</v>
      </c>
      <c r="AG18" s="5" t="s">
        <v>9</v>
      </c>
      <c r="AH18" s="5" t="s">
        <v>9</v>
      </c>
      <c r="AI18" s="5" t="s">
        <v>9</v>
      </c>
      <c r="AJ18" s="5" t="s">
        <v>9</v>
      </c>
      <c r="AK18" s="5" t="s">
        <v>9</v>
      </c>
      <c r="AL18" s="5" t="s">
        <v>9</v>
      </c>
      <c r="AM18" s="5" t="s">
        <v>9</v>
      </c>
      <c r="AN18" s="5" t="s">
        <v>9</v>
      </c>
      <c r="AO18" s="59" t="s">
        <v>123</v>
      </c>
      <c r="AP18" s="60"/>
    </row>
    <row r="19" spans="2:42">
      <c r="B19" s="73"/>
      <c r="C19" s="73"/>
      <c r="D19" s="74" t="s">
        <v>78</v>
      </c>
      <c r="E19" s="75" t="s">
        <v>79</v>
      </c>
      <c r="F19" s="76" t="s">
        <v>124</v>
      </c>
      <c r="G19" s="76" t="s">
        <v>125</v>
      </c>
      <c r="H19" s="47"/>
      <c r="I19" s="47"/>
      <c r="J19" s="47"/>
      <c r="K19" s="196" t="s">
        <v>90</v>
      </c>
      <c r="L19" s="35"/>
      <c r="M19" s="197" t="s">
        <v>89</v>
      </c>
      <c r="N19" s="11"/>
      <c r="O19" s="205" t="s">
        <v>87</v>
      </c>
      <c r="P19" s="12"/>
      <c r="Q19" s="205" t="s">
        <v>97</v>
      </c>
      <c r="R19" s="7"/>
      <c r="S19" s="205"/>
      <c r="T19" s="7"/>
      <c r="U19" s="200" t="s">
        <v>9</v>
      </c>
      <c r="V19" s="200" t="s">
        <v>9</v>
      </c>
      <c r="W19" s="200" t="s">
        <v>9</v>
      </c>
      <c r="X19" s="200" t="s">
        <v>9</v>
      </c>
      <c r="Y19" s="12" t="s">
        <v>9</v>
      </c>
      <c r="Z19" s="200" t="s">
        <v>9</v>
      </c>
      <c r="AA19" s="200" t="s">
        <v>9</v>
      </c>
      <c r="AB19" s="200" t="s">
        <v>9</v>
      </c>
      <c r="AC19" s="200" t="s">
        <v>9</v>
      </c>
      <c r="AD19" s="202"/>
      <c r="AE19" s="203"/>
      <c r="AF19" s="204"/>
      <c r="AG19" s="85"/>
      <c r="AH19" s="86"/>
      <c r="AI19" s="86"/>
      <c r="AJ19" s="86"/>
      <c r="AK19" s="81"/>
      <c r="AL19" s="82"/>
      <c r="AM19" s="81"/>
      <c r="AN19" s="81"/>
      <c r="AO19" s="83"/>
      <c r="AP19" s="84"/>
    </row>
    <row r="20" spans="2:42" ht="17.25">
      <c r="B20" s="73"/>
      <c r="C20" s="73"/>
      <c r="D20" s="74" t="s">
        <v>83</v>
      </c>
      <c r="E20" s="75" t="s">
        <v>84</v>
      </c>
      <c r="F20" s="76" t="s">
        <v>126</v>
      </c>
      <c r="G20" s="76" t="s">
        <v>22</v>
      </c>
      <c r="H20" s="48" t="s">
        <v>111</v>
      </c>
      <c r="I20" s="48"/>
      <c r="J20" s="48"/>
      <c r="K20" s="125" t="s">
        <v>87</v>
      </c>
      <c r="L20" s="126"/>
      <c r="M20" s="197" t="s">
        <v>210</v>
      </c>
      <c r="N20" s="9"/>
      <c r="O20" s="205" t="s">
        <v>211</v>
      </c>
      <c r="P20" s="12"/>
      <c r="Q20" s="205" t="s">
        <v>97</v>
      </c>
      <c r="R20" s="5"/>
      <c r="S20" s="199"/>
      <c r="T20" s="127"/>
      <c r="U20" s="200" t="s">
        <v>7</v>
      </c>
      <c r="V20" s="206" t="s">
        <v>7</v>
      </c>
      <c r="W20" s="200" t="s">
        <v>7</v>
      </c>
      <c r="X20" s="200" t="s">
        <v>7</v>
      </c>
      <c r="Y20" s="200" t="s">
        <v>7</v>
      </c>
      <c r="Z20" s="200" t="s">
        <v>5</v>
      </c>
      <c r="AA20" s="200" t="s">
        <v>5</v>
      </c>
      <c r="AB20" s="200" t="s">
        <v>5</v>
      </c>
      <c r="AC20" s="197" t="s">
        <v>5</v>
      </c>
      <c r="AD20" s="202"/>
      <c r="AE20" s="203"/>
      <c r="AF20" s="204"/>
      <c r="AG20" s="85"/>
      <c r="AH20" s="86"/>
      <c r="AI20" s="86"/>
      <c r="AJ20" s="86"/>
      <c r="AK20" s="81"/>
      <c r="AL20" s="82"/>
      <c r="AM20" s="81"/>
      <c r="AN20" s="81"/>
      <c r="AO20" s="83"/>
      <c r="AP20" s="84"/>
    </row>
    <row r="21" spans="2:42" ht="76.5">
      <c r="B21" s="73"/>
      <c r="C21" s="73"/>
      <c r="D21" s="74" t="s">
        <v>78</v>
      </c>
      <c r="E21" s="75" t="s">
        <v>79</v>
      </c>
      <c r="F21" s="76" t="s">
        <v>127</v>
      </c>
      <c r="G21" s="76" t="s">
        <v>128</v>
      </c>
      <c r="H21" s="128" t="s">
        <v>212</v>
      </c>
      <c r="I21" s="47" t="s">
        <v>129</v>
      </c>
      <c r="J21" s="47"/>
      <c r="K21" s="125" t="s">
        <v>97</v>
      </c>
      <c r="L21" s="128" t="s">
        <v>212</v>
      </c>
      <c r="M21" s="197" t="s">
        <v>87</v>
      </c>
      <c r="N21" s="128" t="s">
        <v>212</v>
      </c>
      <c r="O21" s="205" t="s">
        <v>87</v>
      </c>
      <c r="P21" s="12"/>
      <c r="Q21" s="205" t="s">
        <v>97</v>
      </c>
      <c r="R21" s="7"/>
      <c r="S21" s="205"/>
      <c r="T21" s="131"/>
      <c r="U21" s="200" t="s">
        <v>7</v>
      </c>
      <c r="V21" s="206" t="s">
        <v>7</v>
      </c>
      <c r="W21" s="200" t="s">
        <v>7</v>
      </c>
      <c r="X21" s="200" t="s">
        <v>7</v>
      </c>
      <c r="Y21" s="200" t="s">
        <v>7</v>
      </c>
      <c r="Z21" s="200" t="s">
        <v>5</v>
      </c>
      <c r="AA21" s="200" t="s">
        <v>5</v>
      </c>
      <c r="AB21" s="200" t="s">
        <v>5</v>
      </c>
      <c r="AC21" s="197" t="s">
        <v>5</v>
      </c>
      <c r="AD21" s="202"/>
      <c r="AE21" s="203"/>
      <c r="AF21" s="204"/>
      <c r="AG21" s="85"/>
      <c r="AH21" s="86"/>
      <c r="AI21" s="86"/>
      <c r="AJ21" s="86"/>
      <c r="AK21" s="81"/>
      <c r="AL21" s="82"/>
      <c r="AM21" s="81"/>
      <c r="AN21" s="81"/>
      <c r="AO21" s="83" t="s">
        <v>132</v>
      </c>
      <c r="AP21" s="84">
        <v>46117</v>
      </c>
    </row>
    <row r="22" spans="2:42" ht="46.5" customHeight="1">
      <c r="B22" s="73"/>
      <c r="C22" s="73"/>
      <c r="D22" s="74" t="s">
        <v>78</v>
      </c>
      <c r="E22" s="75" t="s">
        <v>79</v>
      </c>
      <c r="F22" s="76" t="s">
        <v>133</v>
      </c>
      <c r="G22" s="76" t="s">
        <v>8</v>
      </c>
      <c r="H22" s="128" t="s">
        <v>213</v>
      </c>
      <c r="I22" s="47"/>
      <c r="J22" s="47"/>
      <c r="K22" s="125" t="s">
        <v>97</v>
      </c>
      <c r="L22" s="128" t="s">
        <v>213</v>
      </c>
      <c r="M22" s="197" t="s">
        <v>97</v>
      </c>
      <c r="N22" s="11"/>
      <c r="O22" s="205" t="s">
        <v>97</v>
      </c>
      <c r="P22" s="12"/>
      <c r="Q22" s="205" t="s">
        <v>97</v>
      </c>
      <c r="R22" s="7"/>
      <c r="S22" s="205"/>
      <c r="T22" s="129"/>
      <c r="U22" s="200" t="s">
        <v>7</v>
      </c>
      <c r="V22" s="206" t="s">
        <v>7</v>
      </c>
      <c r="W22" s="200" t="s">
        <v>7</v>
      </c>
      <c r="X22" s="200" t="s">
        <v>7</v>
      </c>
      <c r="Y22" s="200" t="s">
        <v>7</v>
      </c>
      <c r="Z22" s="200" t="s">
        <v>5</v>
      </c>
      <c r="AA22" s="200" t="s">
        <v>5</v>
      </c>
      <c r="AB22" s="200" t="s">
        <v>7</v>
      </c>
      <c r="AC22" s="197" t="s">
        <v>5</v>
      </c>
      <c r="AD22" s="202"/>
      <c r="AE22" s="203"/>
      <c r="AF22" s="204"/>
      <c r="AG22" s="85"/>
      <c r="AH22" s="86"/>
      <c r="AI22" s="87"/>
      <c r="AJ22" s="80">
        <f>(AI22)+20</f>
        <v>20</v>
      </c>
      <c r="AK22" s="81"/>
      <c r="AL22" s="82"/>
      <c r="AM22" s="81"/>
      <c r="AN22" s="81"/>
      <c r="AO22" s="83"/>
      <c r="AP22" s="84"/>
    </row>
    <row r="23" spans="2:42" ht="17.25" hidden="1">
      <c r="B23" s="56"/>
      <c r="C23" s="56"/>
      <c r="D23" s="44" t="s">
        <v>83</v>
      </c>
      <c r="E23" s="45" t="s">
        <v>84</v>
      </c>
      <c r="F23" s="46" t="s">
        <v>134</v>
      </c>
      <c r="G23" s="46" t="s">
        <v>33</v>
      </c>
      <c r="H23" s="12"/>
      <c r="I23" s="12"/>
      <c r="J23" s="12"/>
      <c r="K23" s="12" t="s">
        <v>201</v>
      </c>
      <c r="L23" s="12" t="s">
        <v>201</v>
      </c>
      <c r="M23" s="12" t="s">
        <v>201</v>
      </c>
      <c r="N23" s="12" t="s">
        <v>9</v>
      </c>
      <c r="O23" s="12" t="s">
        <v>9</v>
      </c>
      <c r="P23" s="12" t="s">
        <v>9</v>
      </c>
      <c r="Q23" s="12" t="s">
        <v>9</v>
      </c>
      <c r="R23" s="12" t="s">
        <v>9</v>
      </c>
      <c r="S23" s="12" t="s">
        <v>9</v>
      </c>
      <c r="T23" s="12" t="s">
        <v>9</v>
      </c>
      <c r="U23" s="12" t="s">
        <v>9</v>
      </c>
      <c r="V23" s="12" t="s">
        <v>9</v>
      </c>
      <c r="W23" s="12" t="s">
        <v>9</v>
      </c>
      <c r="X23" s="12" t="s">
        <v>9</v>
      </c>
      <c r="Y23" s="12" t="s">
        <v>9</v>
      </c>
      <c r="Z23" s="12" t="s">
        <v>9</v>
      </c>
      <c r="AA23" s="12" t="s">
        <v>9</v>
      </c>
      <c r="AB23" s="12" t="s">
        <v>9</v>
      </c>
      <c r="AC23" s="12" t="s">
        <v>9</v>
      </c>
      <c r="AD23" s="57" t="s">
        <v>9</v>
      </c>
      <c r="AE23" s="9" t="s">
        <v>9</v>
      </c>
      <c r="AF23" s="9" t="s">
        <v>9</v>
      </c>
      <c r="AG23" s="9" t="s">
        <v>9</v>
      </c>
      <c r="AH23" s="9" t="s">
        <v>9</v>
      </c>
      <c r="AI23" s="9" t="s">
        <v>9</v>
      </c>
      <c r="AJ23" s="9" t="s">
        <v>9</v>
      </c>
      <c r="AK23" s="9" t="s">
        <v>9</v>
      </c>
      <c r="AL23" s="9" t="s">
        <v>9</v>
      </c>
      <c r="AM23" s="9" t="s">
        <v>9</v>
      </c>
      <c r="AN23" s="9" t="s">
        <v>9</v>
      </c>
      <c r="AO23" s="59" t="s">
        <v>135</v>
      </c>
      <c r="AP23" s="60">
        <v>46117</v>
      </c>
    </row>
    <row r="24" spans="2:42" ht="17.25">
      <c r="B24" s="73"/>
      <c r="C24" s="73"/>
      <c r="D24" s="74" t="s">
        <v>83</v>
      </c>
      <c r="E24" s="75" t="s">
        <v>84</v>
      </c>
      <c r="F24" s="76" t="s">
        <v>112</v>
      </c>
      <c r="G24" s="76" t="s">
        <v>25</v>
      </c>
      <c r="H24" s="48"/>
      <c r="I24" s="48"/>
      <c r="J24" s="48"/>
      <c r="K24" s="125" t="s">
        <v>87</v>
      </c>
      <c r="L24" s="126"/>
      <c r="M24" s="197" t="s">
        <v>87</v>
      </c>
      <c r="N24" s="9"/>
      <c r="O24" s="205" t="s">
        <v>109</v>
      </c>
      <c r="P24" s="12"/>
      <c r="Q24" s="205" t="s">
        <v>97</v>
      </c>
      <c r="R24" s="5"/>
      <c r="S24" s="199"/>
      <c r="T24" s="127"/>
      <c r="U24" s="200" t="s">
        <v>7</v>
      </c>
      <c r="V24" s="206" t="s">
        <v>7</v>
      </c>
      <c r="W24" s="200" t="s">
        <v>7</v>
      </c>
      <c r="X24" s="200" t="s">
        <v>7</v>
      </c>
      <c r="Y24" s="200" t="s">
        <v>7</v>
      </c>
      <c r="Z24" s="200" t="s">
        <v>5</v>
      </c>
      <c r="AA24" s="200" t="s">
        <v>5</v>
      </c>
      <c r="AB24" s="200" t="s">
        <v>5</v>
      </c>
      <c r="AC24" s="197" t="s">
        <v>5</v>
      </c>
      <c r="AD24" s="202"/>
      <c r="AE24" s="203"/>
      <c r="AF24" s="204"/>
      <c r="AG24" s="85"/>
      <c r="AH24" s="86"/>
      <c r="AI24" s="86"/>
      <c r="AJ24" s="86"/>
      <c r="AK24" s="81"/>
      <c r="AL24" s="82"/>
      <c r="AM24" s="81"/>
      <c r="AN24" s="81"/>
      <c r="AO24" s="83"/>
      <c r="AP24" s="84"/>
    </row>
    <row r="25" spans="2:42" hidden="1">
      <c r="B25" s="73"/>
      <c r="C25" s="73"/>
      <c r="D25" s="74" t="s">
        <v>78</v>
      </c>
      <c r="E25" s="75" t="s">
        <v>79</v>
      </c>
      <c r="F25" s="76" t="s">
        <v>136</v>
      </c>
      <c r="G25" s="76" t="s">
        <v>137</v>
      </c>
      <c r="H25" s="12"/>
      <c r="I25" s="12"/>
      <c r="J25" s="12"/>
      <c r="K25" s="12" t="s">
        <v>201</v>
      </c>
      <c r="L25" s="12" t="s">
        <v>201</v>
      </c>
      <c r="M25" s="12" t="s">
        <v>201</v>
      </c>
      <c r="N25" s="12" t="s">
        <v>9</v>
      </c>
      <c r="O25" s="12" t="s">
        <v>9</v>
      </c>
      <c r="P25" s="12" t="s">
        <v>9</v>
      </c>
      <c r="Q25" s="12" t="s">
        <v>9</v>
      </c>
      <c r="R25" s="12" t="s">
        <v>9</v>
      </c>
      <c r="S25" s="12" t="s">
        <v>9</v>
      </c>
      <c r="T25" s="12" t="s">
        <v>9</v>
      </c>
      <c r="U25" s="12" t="s">
        <v>9</v>
      </c>
      <c r="V25" s="12" t="s">
        <v>9</v>
      </c>
      <c r="W25" s="12" t="s">
        <v>9</v>
      </c>
      <c r="X25" s="12" t="s">
        <v>9</v>
      </c>
      <c r="Y25" s="12" t="s">
        <v>9</v>
      </c>
      <c r="Z25" s="12" t="s">
        <v>9</v>
      </c>
      <c r="AA25" s="12" t="s">
        <v>9</v>
      </c>
      <c r="AB25" s="12" t="s">
        <v>9</v>
      </c>
      <c r="AC25" s="12" t="s">
        <v>9</v>
      </c>
      <c r="AD25" s="57" t="s">
        <v>9</v>
      </c>
      <c r="AE25" s="35" t="s">
        <v>9</v>
      </c>
      <c r="AF25" s="35" t="s">
        <v>9</v>
      </c>
      <c r="AG25" s="35" t="s">
        <v>9</v>
      </c>
      <c r="AH25" s="200" t="s">
        <v>9</v>
      </c>
      <c r="AI25" s="200" t="s">
        <v>9</v>
      </c>
      <c r="AJ25" s="200" t="s">
        <v>9</v>
      </c>
      <c r="AK25" s="200" t="s">
        <v>9</v>
      </c>
      <c r="AL25" s="200" t="s">
        <v>9</v>
      </c>
      <c r="AM25" s="200" t="s">
        <v>9</v>
      </c>
      <c r="AN25" s="200" t="s">
        <v>9</v>
      </c>
      <c r="AO25" s="83"/>
      <c r="AP25" s="84"/>
    </row>
    <row r="26" spans="2:42" ht="17.25">
      <c r="B26" s="73"/>
      <c r="C26" s="73"/>
      <c r="D26" s="74" t="s">
        <v>83</v>
      </c>
      <c r="E26" s="75" t="s">
        <v>84</v>
      </c>
      <c r="F26" s="76" t="s">
        <v>136</v>
      </c>
      <c r="G26" s="76" t="s">
        <v>138</v>
      </c>
      <c r="H26" s="48"/>
      <c r="I26" s="48"/>
      <c r="J26" s="48"/>
      <c r="K26" s="125" t="s">
        <v>97</v>
      </c>
      <c r="L26" s="126"/>
      <c r="M26" s="197" t="s">
        <v>109</v>
      </c>
      <c r="N26" s="9"/>
      <c r="O26" s="205" t="s">
        <v>105</v>
      </c>
      <c r="P26" s="12"/>
      <c r="Q26" s="205" t="s">
        <v>97</v>
      </c>
      <c r="R26" s="5"/>
      <c r="S26" s="199"/>
      <c r="T26" s="127"/>
      <c r="U26" s="200" t="s">
        <v>7</v>
      </c>
      <c r="V26" s="206" t="s">
        <v>7</v>
      </c>
      <c r="W26" s="200" t="s">
        <v>7</v>
      </c>
      <c r="X26" s="200" t="s">
        <v>7</v>
      </c>
      <c r="Y26" s="200" t="s">
        <v>7</v>
      </c>
      <c r="Z26" s="200" t="s">
        <v>5</v>
      </c>
      <c r="AA26" s="200" t="s">
        <v>5</v>
      </c>
      <c r="AB26" s="200" t="s">
        <v>5</v>
      </c>
      <c r="AC26" s="197" t="s">
        <v>5</v>
      </c>
      <c r="AD26" s="202"/>
      <c r="AE26" s="203"/>
      <c r="AF26" s="204"/>
      <c r="AG26" s="85"/>
      <c r="AH26" s="86"/>
      <c r="AI26" s="86"/>
      <c r="AJ26" s="86"/>
      <c r="AK26" s="81"/>
      <c r="AL26" s="82"/>
      <c r="AM26" s="81"/>
      <c r="AN26" s="81"/>
      <c r="AO26" s="83"/>
      <c r="AP26" s="84"/>
    </row>
    <row r="27" spans="2:42">
      <c r="B27" s="73"/>
      <c r="C27" s="73"/>
      <c r="D27" s="74" t="s">
        <v>101</v>
      </c>
      <c r="E27" s="75" t="s">
        <v>102</v>
      </c>
      <c r="F27" s="76" t="s">
        <v>139</v>
      </c>
      <c r="G27" s="76" t="s">
        <v>12</v>
      </c>
      <c r="H27" s="47"/>
      <c r="I27" s="47"/>
      <c r="J27" s="47"/>
      <c r="K27" s="125" t="s">
        <v>97</v>
      </c>
      <c r="L27" s="128"/>
      <c r="M27" s="197" t="s">
        <v>95</v>
      </c>
      <c r="N27" s="11"/>
      <c r="O27" s="205" t="s">
        <v>156</v>
      </c>
      <c r="P27" s="12"/>
      <c r="Q27" s="205" t="s">
        <v>97</v>
      </c>
      <c r="R27" s="7"/>
      <c r="S27" s="205"/>
      <c r="T27" s="129"/>
      <c r="U27" s="200" t="s">
        <v>7</v>
      </c>
      <c r="V27" s="206" t="s">
        <v>7</v>
      </c>
      <c r="W27" s="200" t="s">
        <v>7</v>
      </c>
      <c r="X27" s="200" t="s">
        <v>7</v>
      </c>
      <c r="Y27" s="200" t="s">
        <v>7</v>
      </c>
      <c r="Z27" s="200" t="s">
        <v>5</v>
      </c>
      <c r="AA27" s="200" t="s">
        <v>5</v>
      </c>
      <c r="AB27" s="200" t="s">
        <v>5</v>
      </c>
      <c r="AC27" s="197" t="s">
        <v>5</v>
      </c>
      <c r="AD27" s="202"/>
      <c r="AE27" s="203"/>
      <c r="AF27" s="204"/>
      <c r="AG27" s="85"/>
      <c r="AH27" s="86"/>
      <c r="AI27" s="87"/>
      <c r="AJ27" s="80">
        <f>(AI27)+20</f>
        <v>20</v>
      </c>
      <c r="AK27" s="81"/>
      <c r="AL27" s="82"/>
      <c r="AM27" s="81"/>
      <c r="AN27" s="81"/>
      <c r="AO27" s="83"/>
      <c r="AP27" s="84"/>
    </row>
    <row r="28" spans="2:42">
      <c r="B28" s="73"/>
      <c r="C28" s="73"/>
      <c r="D28" s="74" t="s">
        <v>78</v>
      </c>
      <c r="E28" s="75" t="s">
        <v>79</v>
      </c>
      <c r="F28" s="76" t="s">
        <v>140</v>
      </c>
      <c r="G28" s="76" t="s">
        <v>141</v>
      </c>
      <c r="H28" s="47"/>
      <c r="I28" s="47"/>
      <c r="J28" s="47"/>
      <c r="K28" s="125" t="s">
        <v>106</v>
      </c>
      <c r="L28" s="128"/>
      <c r="M28" s="197" t="s">
        <v>87</v>
      </c>
      <c r="N28" s="11"/>
      <c r="O28" s="205" t="s">
        <v>90</v>
      </c>
      <c r="P28" s="12"/>
      <c r="Q28" s="205" t="s">
        <v>97</v>
      </c>
      <c r="R28" s="7"/>
      <c r="S28" s="205"/>
      <c r="T28" s="129"/>
      <c r="U28" s="200" t="s">
        <v>7</v>
      </c>
      <c r="V28" s="206" t="s">
        <v>7</v>
      </c>
      <c r="W28" s="200" t="s">
        <v>7</v>
      </c>
      <c r="X28" s="200" t="s">
        <v>7</v>
      </c>
      <c r="Y28" s="200" t="s">
        <v>7</v>
      </c>
      <c r="Z28" s="200" t="s">
        <v>5</v>
      </c>
      <c r="AA28" s="200" t="s">
        <v>5</v>
      </c>
      <c r="AB28" s="200" t="s">
        <v>5</v>
      </c>
      <c r="AC28" s="197" t="s">
        <v>5</v>
      </c>
      <c r="AD28" s="202"/>
      <c r="AE28" s="203"/>
      <c r="AF28" s="204"/>
      <c r="AG28" s="85"/>
      <c r="AH28" s="86"/>
      <c r="AI28" s="87"/>
      <c r="AJ28" s="80">
        <f>(AI28)+20</f>
        <v>20</v>
      </c>
      <c r="AK28" s="81"/>
      <c r="AL28" s="82"/>
      <c r="AM28" s="81"/>
      <c r="AN28" s="81"/>
      <c r="AO28" s="83"/>
      <c r="AP28" s="84"/>
    </row>
    <row r="29" spans="2:42">
      <c r="B29" s="73"/>
      <c r="C29" s="73"/>
      <c r="D29" s="74" t="s">
        <v>78</v>
      </c>
      <c r="E29" s="75" t="s">
        <v>79</v>
      </c>
      <c r="F29" s="76" t="s">
        <v>142</v>
      </c>
      <c r="G29" s="76" t="s">
        <v>143</v>
      </c>
      <c r="H29" s="47"/>
      <c r="I29" s="47"/>
      <c r="J29" s="47"/>
      <c r="K29" s="125" t="s">
        <v>106</v>
      </c>
      <c r="L29" s="128"/>
      <c r="M29" s="197" t="s">
        <v>97</v>
      </c>
      <c r="N29" s="11" t="s">
        <v>214</v>
      </c>
      <c r="O29" s="205" t="s">
        <v>215</v>
      </c>
      <c r="P29" s="12"/>
      <c r="Q29" s="205" t="s">
        <v>97</v>
      </c>
      <c r="R29" s="7"/>
      <c r="S29" s="205"/>
      <c r="T29" s="129"/>
      <c r="U29" s="200" t="s">
        <v>7</v>
      </c>
      <c r="V29" s="206" t="s">
        <v>7</v>
      </c>
      <c r="W29" s="200" t="s">
        <v>7</v>
      </c>
      <c r="X29" s="200" t="s">
        <v>7</v>
      </c>
      <c r="Y29" s="200" t="s">
        <v>7</v>
      </c>
      <c r="Z29" s="200" t="s">
        <v>5</v>
      </c>
      <c r="AA29" s="200" t="s">
        <v>5</v>
      </c>
      <c r="AB29" s="200" t="s">
        <v>5</v>
      </c>
      <c r="AC29" s="197" t="s">
        <v>5</v>
      </c>
      <c r="AD29" s="202"/>
      <c r="AE29" s="203"/>
      <c r="AF29" s="204"/>
      <c r="AG29" s="200"/>
      <c r="AH29" s="203"/>
      <c r="AI29" s="209"/>
      <c r="AJ29" s="80">
        <f>(AI29)+20</f>
        <v>20</v>
      </c>
      <c r="AK29" s="81"/>
      <c r="AL29" s="82"/>
      <c r="AM29" s="81"/>
      <c r="AN29" s="81"/>
      <c r="AO29" s="83"/>
      <c r="AP29" s="84"/>
    </row>
    <row r="30" spans="2:42">
      <c r="B30" s="73"/>
      <c r="C30" s="73"/>
      <c r="D30" s="74" t="s">
        <v>78</v>
      </c>
      <c r="E30" s="75" t="s">
        <v>79</v>
      </c>
      <c r="F30" s="76" t="s">
        <v>145</v>
      </c>
      <c r="G30" s="76" t="s">
        <v>29</v>
      </c>
      <c r="H30" s="128" t="s">
        <v>216</v>
      </c>
      <c r="I30" s="47"/>
      <c r="J30" s="47"/>
      <c r="K30" s="125" t="s">
        <v>97</v>
      </c>
      <c r="L30" s="128" t="s">
        <v>216</v>
      </c>
      <c r="M30" s="128" t="s">
        <v>216</v>
      </c>
      <c r="N30" s="11"/>
      <c r="O30" s="205" t="s">
        <v>217</v>
      </c>
      <c r="P30" s="12"/>
      <c r="Q30" s="205" t="s">
        <v>97</v>
      </c>
      <c r="R30" s="7"/>
      <c r="S30" s="205"/>
      <c r="T30" s="129"/>
      <c r="U30" s="200" t="s">
        <v>7</v>
      </c>
      <c r="V30" s="206" t="s">
        <v>7</v>
      </c>
      <c r="W30" s="200" t="s">
        <v>7</v>
      </c>
      <c r="X30" s="200" t="s">
        <v>7</v>
      </c>
      <c r="Y30" s="200" t="s">
        <v>7</v>
      </c>
      <c r="Z30" s="200" t="s">
        <v>5</v>
      </c>
      <c r="AA30" s="200" t="s">
        <v>5</v>
      </c>
      <c r="AB30" s="200" t="s">
        <v>5</v>
      </c>
      <c r="AC30" s="197" t="s">
        <v>5</v>
      </c>
      <c r="AD30" s="202"/>
      <c r="AE30" s="203"/>
      <c r="AF30" s="204"/>
      <c r="AG30" s="200"/>
      <c r="AH30" s="203"/>
      <c r="AI30" s="209"/>
      <c r="AJ30" s="80">
        <f>(AI30)+20</f>
        <v>20</v>
      </c>
      <c r="AK30" s="81"/>
      <c r="AL30" s="82"/>
      <c r="AM30" s="81"/>
      <c r="AN30" s="81"/>
      <c r="AO30" s="83"/>
      <c r="AP30" s="84"/>
    </row>
    <row r="31" spans="2:42" ht="17.25">
      <c r="B31" s="73"/>
      <c r="C31" s="73"/>
      <c r="D31" s="74" t="s">
        <v>83</v>
      </c>
      <c r="E31" s="75" t="s">
        <v>84</v>
      </c>
      <c r="F31" s="76" t="s">
        <v>145</v>
      </c>
      <c r="G31" s="76" t="s">
        <v>146</v>
      </c>
      <c r="H31" s="164" t="s">
        <v>218</v>
      </c>
      <c r="I31" s="48"/>
      <c r="J31" s="48"/>
      <c r="K31" s="125" t="s">
        <v>87</v>
      </c>
      <c r="L31" s="126">
        <v>220260917116165</v>
      </c>
      <c r="M31" s="197" t="s">
        <v>109</v>
      </c>
      <c r="N31" s="9"/>
      <c r="O31" s="205" t="s">
        <v>109</v>
      </c>
      <c r="P31" s="12"/>
      <c r="Q31" s="205" t="s">
        <v>97</v>
      </c>
      <c r="R31" s="5"/>
      <c r="S31" s="199"/>
      <c r="T31" s="127"/>
      <c r="U31" s="200" t="s">
        <v>7</v>
      </c>
      <c r="V31" s="206" t="s">
        <v>7</v>
      </c>
      <c r="W31" s="200" t="s">
        <v>7</v>
      </c>
      <c r="X31" s="200" t="s">
        <v>7</v>
      </c>
      <c r="Y31" s="200" t="s">
        <v>7</v>
      </c>
      <c r="Z31" s="200" t="s">
        <v>5</v>
      </c>
      <c r="AA31" s="200" t="s">
        <v>5</v>
      </c>
      <c r="AB31" s="200" t="s">
        <v>5</v>
      </c>
      <c r="AC31" s="197" t="s">
        <v>5</v>
      </c>
      <c r="AD31" s="202"/>
      <c r="AE31" s="203"/>
      <c r="AF31" s="204"/>
      <c r="AG31" s="200"/>
      <c r="AH31" s="203"/>
      <c r="AI31" s="209"/>
      <c r="AJ31" s="80">
        <f>(AI31)+20</f>
        <v>20</v>
      </c>
      <c r="AK31" s="81"/>
      <c r="AL31" s="82"/>
      <c r="AM31" s="81"/>
      <c r="AN31" s="81"/>
      <c r="AO31" s="83"/>
      <c r="AP31" s="84"/>
    </row>
    <row r="32" spans="2:42">
      <c r="B32" s="73"/>
      <c r="C32" s="73"/>
      <c r="D32" s="74" t="s">
        <v>101</v>
      </c>
      <c r="E32" s="75" t="s">
        <v>102</v>
      </c>
      <c r="F32" s="76" t="s">
        <v>145</v>
      </c>
      <c r="G32" s="76" t="s">
        <v>147</v>
      </c>
      <c r="H32" s="47"/>
      <c r="I32" s="47"/>
      <c r="J32" s="47"/>
      <c r="K32" s="125" t="s">
        <v>97</v>
      </c>
      <c r="L32" s="128"/>
      <c r="M32" s="197" t="s">
        <v>219</v>
      </c>
      <c r="N32" s="11"/>
      <c r="O32" s="205" t="s">
        <v>90</v>
      </c>
      <c r="P32" s="12"/>
      <c r="Q32" s="205" t="s">
        <v>97</v>
      </c>
      <c r="R32" s="7"/>
      <c r="S32" s="205"/>
      <c r="T32" s="129"/>
      <c r="U32" s="200" t="s">
        <v>7</v>
      </c>
      <c r="V32" s="206" t="s">
        <v>7</v>
      </c>
      <c r="W32" s="200" t="s">
        <v>7</v>
      </c>
      <c r="X32" s="200" t="s">
        <v>7</v>
      </c>
      <c r="Y32" s="200" t="s">
        <v>7</v>
      </c>
      <c r="Z32" s="200" t="s">
        <v>5</v>
      </c>
      <c r="AA32" s="200" t="s">
        <v>5</v>
      </c>
      <c r="AB32" s="200" t="s">
        <v>5</v>
      </c>
      <c r="AC32" s="197" t="s">
        <v>5</v>
      </c>
      <c r="AD32" s="202"/>
      <c r="AE32" s="203"/>
      <c r="AF32" s="204"/>
      <c r="AG32" s="200"/>
      <c r="AH32" s="203"/>
      <c r="AI32" s="203"/>
      <c r="AJ32" s="203"/>
      <c r="AK32" s="81"/>
      <c r="AL32" s="82"/>
      <c r="AM32" s="81"/>
      <c r="AN32" s="81"/>
      <c r="AO32" s="83"/>
      <c r="AP32" s="84"/>
    </row>
    <row r="33" spans="2:42" ht="34.5" customHeight="1">
      <c r="B33" s="73"/>
      <c r="C33" s="73"/>
      <c r="D33" s="74" t="s">
        <v>78</v>
      </c>
      <c r="E33" s="75" t="s">
        <v>79</v>
      </c>
      <c r="F33" s="76" t="s">
        <v>148</v>
      </c>
      <c r="G33" s="76" t="s">
        <v>149</v>
      </c>
      <c r="H33" s="47"/>
      <c r="I33" s="47"/>
      <c r="J33" s="47"/>
      <c r="K33" s="125" t="s">
        <v>97</v>
      </c>
      <c r="L33" s="128" t="s">
        <v>220</v>
      </c>
      <c r="M33" s="197" t="s">
        <v>94</v>
      </c>
      <c r="N33" s="11"/>
      <c r="O33" s="205" t="s">
        <v>156</v>
      </c>
      <c r="P33" s="12"/>
      <c r="Q33" s="205" t="s">
        <v>97</v>
      </c>
      <c r="R33" s="7"/>
      <c r="S33" s="205"/>
      <c r="T33" s="129"/>
      <c r="U33" s="200" t="s">
        <v>7</v>
      </c>
      <c r="V33" s="206" t="s">
        <v>7</v>
      </c>
      <c r="W33" s="200" t="s">
        <v>7</v>
      </c>
      <c r="X33" s="200" t="s">
        <v>7</v>
      </c>
      <c r="Y33" s="200" t="s">
        <v>7</v>
      </c>
      <c r="Z33" s="200" t="s">
        <v>5</v>
      </c>
      <c r="AA33" s="200" t="s">
        <v>5</v>
      </c>
      <c r="AB33" s="200" t="s">
        <v>5</v>
      </c>
      <c r="AC33" s="197" t="s">
        <v>5</v>
      </c>
      <c r="AD33" s="202"/>
      <c r="AE33" s="203"/>
      <c r="AF33" s="204"/>
      <c r="AG33" s="200"/>
      <c r="AH33" s="203"/>
      <c r="AI33" s="209"/>
      <c r="AJ33" s="80">
        <f>(AI33)+20</f>
        <v>20</v>
      </c>
      <c r="AK33" s="81"/>
      <c r="AL33" s="82"/>
      <c r="AM33" s="81"/>
      <c r="AN33" s="81"/>
      <c r="AO33" s="83"/>
      <c r="AP33" s="84"/>
    </row>
    <row r="34" spans="2:42" ht="21.75" hidden="1" customHeight="1">
      <c r="B34" s="56"/>
      <c r="C34" s="56"/>
      <c r="D34" s="44" t="s">
        <v>78</v>
      </c>
      <c r="E34" s="45" t="s">
        <v>79</v>
      </c>
      <c r="F34" s="46" t="s">
        <v>150</v>
      </c>
      <c r="G34" s="46" t="s">
        <v>151</v>
      </c>
      <c r="H34" s="12"/>
      <c r="I34" s="12"/>
      <c r="J34" s="12"/>
      <c r="K34" s="12" t="s">
        <v>201</v>
      </c>
      <c r="L34" s="12" t="s">
        <v>201</v>
      </c>
      <c r="M34" s="12" t="s">
        <v>201</v>
      </c>
      <c r="N34" s="12" t="s">
        <v>9</v>
      </c>
      <c r="O34" s="12" t="s">
        <v>9</v>
      </c>
      <c r="P34" s="12" t="s">
        <v>9</v>
      </c>
      <c r="Q34" s="12" t="s">
        <v>9</v>
      </c>
      <c r="R34" s="12" t="s">
        <v>9</v>
      </c>
      <c r="S34" s="12" t="s">
        <v>9</v>
      </c>
      <c r="T34" s="12" t="s">
        <v>9</v>
      </c>
      <c r="U34" s="12" t="s">
        <v>9</v>
      </c>
      <c r="V34" s="12" t="s">
        <v>9</v>
      </c>
      <c r="W34" s="12" t="s">
        <v>9</v>
      </c>
      <c r="X34" s="12" t="s">
        <v>9</v>
      </c>
      <c r="Y34" s="12" t="s">
        <v>9</v>
      </c>
      <c r="Z34" s="12" t="s">
        <v>9</v>
      </c>
      <c r="AA34" s="12" t="s">
        <v>9</v>
      </c>
      <c r="AB34" s="12" t="s">
        <v>9</v>
      </c>
      <c r="AC34" s="12" t="s">
        <v>9</v>
      </c>
      <c r="AD34" s="57" t="s">
        <v>9</v>
      </c>
      <c r="AE34" s="13" t="s">
        <v>9</v>
      </c>
      <c r="AF34" s="13" t="s">
        <v>9</v>
      </c>
      <c r="AG34" s="13" t="s">
        <v>9</v>
      </c>
      <c r="AH34" s="13" t="s">
        <v>9</v>
      </c>
      <c r="AI34" s="13" t="s">
        <v>9</v>
      </c>
      <c r="AJ34" s="13" t="s">
        <v>9</v>
      </c>
      <c r="AK34" s="13" t="s">
        <v>9</v>
      </c>
      <c r="AL34" s="13" t="s">
        <v>9</v>
      </c>
      <c r="AM34" s="13" t="s">
        <v>9</v>
      </c>
      <c r="AN34" s="13" t="s">
        <v>9</v>
      </c>
      <c r="AO34" s="59">
        <v>46149</v>
      </c>
      <c r="AP34" s="60" t="s">
        <v>152</v>
      </c>
    </row>
    <row r="35" spans="2:42" ht="25.5" customHeight="1">
      <c r="B35" s="73"/>
      <c r="C35" s="73"/>
      <c r="D35" s="74" t="s">
        <v>78</v>
      </c>
      <c r="E35" s="75" t="s">
        <v>79</v>
      </c>
      <c r="F35" s="76" t="s">
        <v>153</v>
      </c>
      <c r="G35" s="76" t="s">
        <v>31</v>
      </c>
      <c r="H35" s="47"/>
      <c r="I35" s="47"/>
      <c r="J35" s="47"/>
      <c r="K35" s="125" t="s">
        <v>87</v>
      </c>
      <c r="L35" s="128"/>
      <c r="M35" s="197" t="s">
        <v>97</v>
      </c>
      <c r="N35" s="11"/>
      <c r="O35" s="205" t="s">
        <v>106</v>
      </c>
      <c r="P35" s="12"/>
      <c r="Q35" s="205" t="s">
        <v>97</v>
      </c>
      <c r="R35" s="7"/>
      <c r="S35" s="205"/>
      <c r="T35" s="129"/>
      <c r="U35" s="200" t="s">
        <v>7</v>
      </c>
      <c r="V35" s="206" t="s">
        <v>7</v>
      </c>
      <c r="W35" s="200" t="s">
        <v>7</v>
      </c>
      <c r="X35" s="200" t="s">
        <v>7</v>
      </c>
      <c r="Y35" s="200" t="s">
        <v>7</v>
      </c>
      <c r="Z35" s="200" t="s">
        <v>5</v>
      </c>
      <c r="AA35" s="200" t="s">
        <v>5</v>
      </c>
      <c r="AB35" s="200" t="s">
        <v>5</v>
      </c>
      <c r="AC35" s="197" t="s">
        <v>5</v>
      </c>
      <c r="AD35" s="202"/>
      <c r="AE35" s="203"/>
      <c r="AF35" s="204"/>
      <c r="AG35" s="200"/>
      <c r="AH35" s="203"/>
      <c r="AI35" s="209"/>
      <c r="AJ35" s="80">
        <f>(AI35)+20</f>
        <v>20</v>
      </c>
      <c r="AK35" s="81"/>
      <c r="AL35" s="82"/>
      <c r="AM35" s="81"/>
      <c r="AN35" s="81"/>
      <c r="AO35" s="83"/>
      <c r="AP35" s="84"/>
    </row>
    <row r="36" spans="2:42" ht="17.25" hidden="1">
      <c r="B36" s="73"/>
      <c r="C36" s="73"/>
      <c r="D36" s="74" t="s">
        <v>83</v>
      </c>
      <c r="E36" s="75" t="s">
        <v>84</v>
      </c>
      <c r="F36" s="76" t="s">
        <v>154</v>
      </c>
      <c r="G36" s="76" t="s">
        <v>19</v>
      </c>
      <c r="H36" s="48"/>
      <c r="I36" s="48"/>
      <c r="J36" s="48"/>
      <c r="K36" s="125" t="s">
        <v>9</v>
      </c>
      <c r="L36" s="125" t="s">
        <v>9</v>
      </c>
      <c r="M36" s="125" t="s">
        <v>9</v>
      </c>
      <c r="N36" s="125" t="s">
        <v>9</v>
      </c>
      <c r="O36" s="125" t="s">
        <v>9</v>
      </c>
      <c r="P36" s="125" t="s">
        <v>9</v>
      </c>
      <c r="Q36" s="125" t="s">
        <v>9</v>
      </c>
      <c r="R36" s="125" t="s">
        <v>9</v>
      </c>
      <c r="S36" s="125" t="s">
        <v>9</v>
      </c>
      <c r="T36" s="125" t="s">
        <v>9</v>
      </c>
      <c r="U36" s="125" t="s">
        <v>9</v>
      </c>
      <c r="V36" s="125" t="s">
        <v>9</v>
      </c>
      <c r="W36" s="125" t="s">
        <v>9</v>
      </c>
      <c r="X36" s="125" t="s">
        <v>9</v>
      </c>
      <c r="Y36" s="125" t="s">
        <v>9</v>
      </c>
      <c r="Z36" s="125" t="s">
        <v>9</v>
      </c>
      <c r="AA36" s="125" t="s">
        <v>9</v>
      </c>
      <c r="AB36" s="125" t="s">
        <v>9</v>
      </c>
      <c r="AC36" s="125" t="s">
        <v>9</v>
      </c>
      <c r="AD36" s="125" t="s">
        <v>9</v>
      </c>
      <c r="AE36" s="125" t="s">
        <v>9</v>
      </c>
      <c r="AF36" s="125" t="s">
        <v>9</v>
      </c>
      <c r="AG36" s="125" t="s">
        <v>9</v>
      </c>
      <c r="AH36" s="125" t="s">
        <v>9</v>
      </c>
      <c r="AI36" s="125" t="s">
        <v>9</v>
      </c>
      <c r="AJ36" s="125" t="s">
        <v>9</v>
      </c>
      <c r="AK36" s="125" t="s">
        <v>9</v>
      </c>
      <c r="AL36" s="125" t="s">
        <v>9</v>
      </c>
      <c r="AM36" s="125" t="s">
        <v>9</v>
      </c>
      <c r="AN36" s="125" t="s">
        <v>9</v>
      </c>
      <c r="AO36" s="83" t="s">
        <v>221</v>
      </c>
      <c r="AP36" s="84">
        <v>46259</v>
      </c>
    </row>
    <row r="37" spans="2:42">
      <c r="B37" s="73"/>
      <c r="C37" s="73"/>
      <c r="D37" s="74" t="s">
        <v>78</v>
      </c>
      <c r="E37" s="75" t="s">
        <v>79</v>
      </c>
      <c r="F37" s="76" t="s">
        <v>155</v>
      </c>
      <c r="G37" s="76" t="s">
        <v>21</v>
      </c>
      <c r="H37" s="47"/>
      <c r="I37" s="47"/>
      <c r="J37" s="47"/>
      <c r="K37" s="125" t="s">
        <v>94</v>
      </c>
      <c r="L37" s="132"/>
      <c r="M37" s="197" t="s">
        <v>87</v>
      </c>
      <c r="N37" s="11"/>
      <c r="O37" s="205" t="s">
        <v>106</v>
      </c>
      <c r="P37" s="12"/>
      <c r="Q37" s="205" t="s">
        <v>97</v>
      </c>
      <c r="R37" s="7"/>
      <c r="S37" s="205"/>
      <c r="T37" s="129"/>
      <c r="U37" s="200" t="s">
        <v>7</v>
      </c>
      <c r="V37" s="206" t="s">
        <v>7</v>
      </c>
      <c r="W37" s="200" t="s">
        <v>7</v>
      </c>
      <c r="X37" s="200" t="s">
        <v>7</v>
      </c>
      <c r="Y37" s="200" t="s">
        <v>7</v>
      </c>
      <c r="Z37" s="200" t="s">
        <v>5</v>
      </c>
      <c r="AA37" s="200" t="s">
        <v>5</v>
      </c>
      <c r="AB37" s="200" t="s">
        <v>5</v>
      </c>
      <c r="AC37" s="197" t="s">
        <v>5</v>
      </c>
      <c r="AD37" s="202"/>
      <c r="AE37" s="203"/>
      <c r="AF37" s="204"/>
      <c r="AG37" s="200"/>
      <c r="AH37" s="203"/>
      <c r="AI37" s="209"/>
      <c r="AJ37" s="80">
        <f>(AI37)+20</f>
        <v>20</v>
      </c>
      <c r="AK37" s="81"/>
      <c r="AL37" s="82"/>
      <c r="AM37" s="81"/>
      <c r="AN37" s="81"/>
      <c r="AO37" s="83"/>
      <c r="AP37" s="84"/>
    </row>
    <row r="38" spans="2:42" ht="17.25">
      <c r="B38" s="73"/>
      <c r="C38" s="73"/>
      <c r="D38" s="74" t="s">
        <v>83</v>
      </c>
      <c r="E38" s="75" t="s">
        <v>84</v>
      </c>
      <c r="F38" s="76" t="s">
        <v>157</v>
      </c>
      <c r="G38" s="76" t="s">
        <v>23</v>
      </c>
      <c r="H38" s="48"/>
      <c r="I38" s="48"/>
      <c r="J38" s="48"/>
      <c r="K38" s="125" t="s">
        <v>222</v>
      </c>
      <c r="L38" s="126" t="s">
        <v>223</v>
      </c>
      <c r="M38" s="197" t="s">
        <v>224</v>
      </c>
      <c r="N38" s="197" t="s">
        <v>225</v>
      </c>
      <c r="O38" s="205" t="s">
        <v>97</v>
      </c>
      <c r="P38" s="12"/>
      <c r="Q38" s="205" t="s">
        <v>97</v>
      </c>
      <c r="R38" s="5"/>
      <c r="S38" s="199"/>
      <c r="T38" s="127"/>
      <c r="U38" s="200" t="s">
        <v>7</v>
      </c>
      <c r="V38" s="206" t="s">
        <v>7</v>
      </c>
      <c r="W38" s="200" t="s">
        <v>7</v>
      </c>
      <c r="X38" s="200" t="s">
        <v>7</v>
      </c>
      <c r="Y38" s="200" t="s">
        <v>7</v>
      </c>
      <c r="Z38" s="200" t="s">
        <v>5</v>
      </c>
      <c r="AA38" s="200" t="s">
        <v>5</v>
      </c>
      <c r="AB38" s="200" t="s">
        <v>5</v>
      </c>
      <c r="AC38" s="197" t="s">
        <v>5</v>
      </c>
      <c r="AD38" s="202"/>
      <c r="AE38" s="203"/>
      <c r="AF38" s="204"/>
      <c r="AG38" s="200"/>
      <c r="AH38" s="203"/>
      <c r="AI38" s="203"/>
      <c r="AJ38" s="203"/>
      <c r="AK38" s="81"/>
      <c r="AL38" s="82"/>
      <c r="AM38" s="81"/>
      <c r="AN38" s="81"/>
      <c r="AO38" s="83"/>
      <c r="AP38" s="84"/>
    </row>
    <row r="39" spans="2:42" hidden="1">
      <c r="B39" s="73"/>
      <c r="C39" s="73"/>
      <c r="D39" s="74" t="s">
        <v>101</v>
      </c>
      <c r="E39" s="75" t="s">
        <v>102</v>
      </c>
      <c r="F39" s="76" t="s">
        <v>158</v>
      </c>
      <c r="G39" s="76" t="s">
        <v>159</v>
      </c>
      <c r="H39" s="12"/>
      <c r="I39" s="12"/>
      <c r="J39" s="12"/>
      <c r="K39" s="12" t="s">
        <v>201</v>
      </c>
      <c r="L39" s="12" t="s">
        <v>201</v>
      </c>
      <c r="M39" s="12" t="s">
        <v>201</v>
      </c>
      <c r="N39" s="12" t="s">
        <v>9</v>
      </c>
      <c r="O39" s="12" t="s">
        <v>9</v>
      </c>
      <c r="P39" s="12" t="s">
        <v>9</v>
      </c>
      <c r="Q39" s="12" t="s">
        <v>9</v>
      </c>
      <c r="R39" s="12" t="s">
        <v>9</v>
      </c>
      <c r="S39" s="12" t="s">
        <v>9</v>
      </c>
      <c r="T39" s="12" t="s">
        <v>9</v>
      </c>
      <c r="U39" s="12" t="s">
        <v>9</v>
      </c>
      <c r="V39" s="12" t="s">
        <v>9</v>
      </c>
      <c r="W39" s="12" t="s">
        <v>9</v>
      </c>
      <c r="X39" s="12" t="s">
        <v>9</v>
      </c>
      <c r="Y39" s="12" t="s">
        <v>9</v>
      </c>
      <c r="Z39" s="12" t="s">
        <v>9</v>
      </c>
      <c r="AA39" s="12" t="s">
        <v>9</v>
      </c>
      <c r="AB39" s="12" t="s">
        <v>9</v>
      </c>
      <c r="AC39" s="12" t="s">
        <v>9</v>
      </c>
      <c r="AD39" s="57" t="s">
        <v>9</v>
      </c>
      <c r="AE39" s="205" t="s">
        <v>9</v>
      </c>
      <c r="AF39" s="212" t="s">
        <v>9</v>
      </c>
      <c r="AG39" s="205" t="s">
        <v>9</v>
      </c>
      <c r="AH39" s="205" t="s">
        <v>9</v>
      </c>
      <c r="AI39" s="205" t="s">
        <v>9</v>
      </c>
      <c r="AJ39" s="205" t="s">
        <v>9</v>
      </c>
      <c r="AK39" s="205" t="s">
        <v>9</v>
      </c>
      <c r="AL39" s="205" t="s">
        <v>9</v>
      </c>
      <c r="AM39" s="205" t="s">
        <v>9</v>
      </c>
      <c r="AN39" s="205" t="s">
        <v>9</v>
      </c>
      <c r="AO39" s="211"/>
      <c r="AP39" s="211"/>
    </row>
    <row r="40" spans="2:42">
      <c r="B40" s="73"/>
      <c r="C40" s="73"/>
      <c r="D40" s="74" t="s">
        <v>78</v>
      </c>
      <c r="E40" s="75" t="s">
        <v>79</v>
      </c>
      <c r="F40" s="76" t="s">
        <v>161</v>
      </c>
      <c r="G40" s="76" t="s">
        <v>6</v>
      </c>
      <c r="H40" s="47"/>
      <c r="I40" s="47"/>
      <c r="J40" s="47"/>
      <c r="K40" s="125" t="s">
        <v>156</v>
      </c>
      <c r="L40" s="132"/>
      <c r="M40" s="197" t="s">
        <v>95</v>
      </c>
      <c r="N40" s="11"/>
      <c r="O40" s="205" t="s">
        <v>90</v>
      </c>
      <c r="P40" s="12"/>
      <c r="Q40" s="205" t="s">
        <v>97</v>
      </c>
      <c r="R40" s="7"/>
      <c r="S40" s="205"/>
      <c r="T40" s="129"/>
      <c r="U40" s="200" t="s">
        <v>7</v>
      </c>
      <c r="V40" s="206" t="s">
        <v>7</v>
      </c>
      <c r="W40" s="200" t="s">
        <v>7</v>
      </c>
      <c r="X40" s="200" t="s">
        <v>7</v>
      </c>
      <c r="Y40" s="200" t="s">
        <v>7</v>
      </c>
      <c r="Z40" s="200" t="s">
        <v>5</v>
      </c>
      <c r="AA40" s="200" t="s">
        <v>5</v>
      </c>
      <c r="AB40" s="200" t="s">
        <v>7</v>
      </c>
      <c r="AC40" s="197" t="s">
        <v>5</v>
      </c>
      <c r="AD40" s="202"/>
      <c r="AE40" s="203"/>
      <c r="AF40" s="204"/>
      <c r="AG40" s="200"/>
      <c r="AH40" s="203"/>
      <c r="AI40" s="209"/>
      <c r="AJ40" s="80">
        <f>(AI40)+20</f>
        <v>20</v>
      </c>
      <c r="AK40" s="81"/>
      <c r="AL40" s="82"/>
      <c r="AM40" s="81"/>
      <c r="AN40" s="81"/>
      <c r="AO40" s="83"/>
      <c r="AP40" s="84"/>
    </row>
    <row r="41" spans="2:42" hidden="1">
      <c r="B41" s="73"/>
      <c r="C41" s="73"/>
      <c r="D41" s="74" t="s">
        <v>78</v>
      </c>
      <c r="E41" s="75" t="s">
        <v>79</v>
      </c>
      <c r="F41" s="76" t="s">
        <v>162</v>
      </c>
      <c r="G41" s="76" t="s">
        <v>163</v>
      </c>
      <c r="H41" s="47"/>
      <c r="I41" s="47"/>
      <c r="J41" s="47"/>
      <c r="K41" s="125" t="s">
        <v>95</v>
      </c>
      <c r="L41" s="128"/>
      <c r="M41" s="197" t="s">
        <v>156</v>
      </c>
      <c r="N41" s="11"/>
      <c r="O41" s="205" t="s">
        <v>90</v>
      </c>
      <c r="P41" s="12"/>
      <c r="Q41" s="205" t="s">
        <v>109</v>
      </c>
      <c r="R41" s="7"/>
      <c r="S41" s="205"/>
      <c r="T41" s="129"/>
      <c r="U41" s="200" t="s">
        <v>7</v>
      </c>
      <c r="V41" s="206" t="s">
        <v>7</v>
      </c>
      <c r="W41" s="200" t="s">
        <v>7</v>
      </c>
      <c r="X41" s="200" t="s">
        <v>7</v>
      </c>
      <c r="Y41" s="200" t="s">
        <v>7</v>
      </c>
      <c r="Z41" s="200" t="s">
        <v>5</v>
      </c>
      <c r="AA41" s="200" t="s">
        <v>5</v>
      </c>
      <c r="AB41" s="200" t="s">
        <v>5</v>
      </c>
      <c r="AC41" s="197" t="s">
        <v>5</v>
      </c>
      <c r="AD41" s="202"/>
      <c r="AE41" s="203"/>
      <c r="AF41" s="204"/>
      <c r="AG41" s="200"/>
      <c r="AH41" s="203"/>
      <c r="AI41" s="203"/>
      <c r="AJ41" s="203"/>
      <c r="AK41" s="81"/>
      <c r="AL41" s="82"/>
      <c r="AM41" s="81"/>
      <c r="AN41" s="81"/>
      <c r="AO41" s="83"/>
      <c r="AP41" s="84"/>
    </row>
    <row r="42" spans="2:42" hidden="1">
      <c r="B42" s="73"/>
      <c r="C42" s="73"/>
      <c r="D42" s="74" t="s">
        <v>83</v>
      </c>
      <c r="E42" s="75" t="s">
        <v>84</v>
      </c>
      <c r="F42" s="76" t="s">
        <v>162</v>
      </c>
      <c r="G42" s="76" t="s">
        <v>10</v>
      </c>
      <c r="H42" s="12"/>
      <c r="I42" s="12"/>
      <c r="J42" s="12"/>
      <c r="K42" s="12" t="s">
        <v>201</v>
      </c>
      <c r="L42" s="12" t="s">
        <v>201</v>
      </c>
      <c r="M42" s="12" t="s">
        <v>201</v>
      </c>
      <c r="N42" s="12" t="s">
        <v>9</v>
      </c>
      <c r="O42" s="12" t="s">
        <v>9</v>
      </c>
      <c r="P42" s="12" t="s">
        <v>9</v>
      </c>
      <c r="Q42" s="12" t="s">
        <v>9</v>
      </c>
      <c r="R42" s="12" t="s">
        <v>9</v>
      </c>
      <c r="S42" s="12" t="s">
        <v>9</v>
      </c>
      <c r="T42" s="12" t="s">
        <v>9</v>
      </c>
      <c r="U42" s="12" t="s">
        <v>9</v>
      </c>
      <c r="V42" s="12" t="s">
        <v>9</v>
      </c>
      <c r="W42" s="12" t="s">
        <v>9</v>
      </c>
      <c r="X42" s="12" t="s">
        <v>9</v>
      </c>
      <c r="Y42" s="12" t="s">
        <v>9</v>
      </c>
      <c r="Z42" s="12" t="s">
        <v>9</v>
      </c>
      <c r="AA42" s="12" t="s">
        <v>9</v>
      </c>
      <c r="AB42" s="12" t="s">
        <v>9</v>
      </c>
      <c r="AC42" s="12" t="s">
        <v>9</v>
      </c>
      <c r="AD42" s="57" t="s">
        <v>9</v>
      </c>
      <c r="AE42" s="126" t="s">
        <v>160</v>
      </c>
      <c r="AF42" s="126" t="s">
        <v>160</v>
      </c>
      <c r="AG42" s="126" t="s">
        <v>160</v>
      </c>
      <c r="AH42" s="126" t="s">
        <v>160</v>
      </c>
      <c r="AI42" s="126" t="s">
        <v>160</v>
      </c>
      <c r="AJ42" s="126" t="s">
        <v>160</v>
      </c>
      <c r="AK42" s="126" t="s">
        <v>160</v>
      </c>
      <c r="AL42" s="82"/>
      <c r="AM42" s="81"/>
      <c r="AN42" s="81"/>
      <c r="AO42" s="83"/>
      <c r="AP42" s="84"/>
    </row>
    <row r="43" spans="2:42" ht="17.25">
      <c r="B43" s="73"/>
      <c r="C43" s="73"/>
      <c r="D43" s="74" t="s">
        <v>101</v>
      </c>
      <c r="E43" s="75" t="s">
        <v>102</v>
      </c>
      <c r="F43" s="76" t="s">
        <v>162</v>
      </c>
      <c r="G43" s="76" t="s">
        <v>166</v>
      </c>
      <c r="H43" s="48"/>
      <c r="I43" s="48"/>
      <c r="J43" s="48"/>
      <c r="K43" s="125" t="s">
        <v>97</v>
      </c>
      <c r="L43" s="128"/>
      <c r="M43" s="197" t="s">
        <v>95</v>
      </c>
      <c r="N43" s="11"/>
      <c r="O43" s="205" t="s">
        <v>95</v>
      </c>
      <c r="P43" s="12"/>
      <c r="Q43" s="205" t="s">
        <v>97</v>
      </c>
      <c r="R43" s="7"/>
      <c r="S43" s="205"/>
      <c r="T43" s="129"/>
      <c r="U43" s="200" t="s">
        <v>7</v>
      </c>
      <c r="V43" s="206" t="s">
        <v>7</v>
      </c>
      <c r="W43" s="200" t="s">
        <v>7</v>
      </c>
      <c r="X43" s="200" t="s">
        <v>7</v>
      </c>
      <c r="Y43" s="200" t="s">
        <v>7</v>
      </c>
      <c r="Z43" s="200" t="s">
        <v>5</v>
      </c>
      <c r="AA43" s="200" t="s">
        <v>5</v>
      </c>
      <c r="AB43" s="200" t="s">
        <v>5</v>
      </c>
      <c r="AC43" s="197" t="s">
        <v>5</v>
      </c>
      <c r="AD43" s="202"/>
      <c r="AE43" s="203"/>
      <c r="AF43" s="204"/>
      <c r="AG43" s="200"/>
      <c r="AH43" s="203"/>
      <c r="AI43" s="203"/>
      <c r="AJ43" s="203"/>
      <c r="AK43" s="81"/>
      <c r="AL43" s="82"/>
      <c r="AM43" s="81"/>
      <c r="AN43" s="81"/>
      <c r="AO43" s="83"/>
      <c r="AP43" s="84"/>
    </row>
    <row r="44" spans="2:42" ht="17.25" hidden="1">
      <c r="B44" s="56"/>
      <c r="C44" s="56"/>
      <c r="D44" s="44" t="s">
        <v>78</v>
      </c>
      <c r="E44" s="45" t="s">
        <v>79</v>
      </c>
      <c r="F44" s="46" t="s">
        <v>162</v>
      </c>
      <c r="G44" s="46" t="s">
        <v>168</v>
      </c>
      <c r="H44" s="12"/>
      <c r="I44" s="12"/>
      <c r="J44" s="12"/>
      <c r="K44" s="12" t="s">
        <v>201</v>
      </c>
      <c r="L44" s="12" t="s">
        <v>201</v>
      </c>
      <c r="M44" s="12" t="s">
        <v>201</v>
      </c>
      <c r="N44" s="12" t="s">
        <v>9</v>
      </c>
      <c r="O44" s="12" t="s">
        <v>9</v>
      </c>
      <c r="P44" s="12" t="s">
        <v>9</v>
      </c>
      <c r="Q44" s="12" t="s">
        <v>9</v>
      </c>
      <c r="R44" s="12" t="s">
        <v>9</v>
      </c>
      <c r="S44" s="12" t="s">
        <v>9</v>
      </c>
      <c r="T44" s="12" t="s">
        <v>9</v>
      </c>
      <c r="U44" s="12" t="s">
        <v>9</v>
      </c>
      <c r="V44" s="12" t="s">
        <v>9</v>
      </c>
      <c r="W44" s="12" t="s">
        <v>9</v>
      </c>
      <c r="X44" s="12" t="s">
        <v>9</v>
      </c>
      <c r="Y44" s="12" t="s">
        <v>9</v>
      </c>
      <c r="Z44" s="12" t="s">
        <v>9</v>
      </c>
      <c r="AA44" s="12" t="s">
        <v>9</v>
      </c>
      <c r="AB44" s="12" t="s">
        <v>9</v>
      </c>
      <c r="AC44" s="12" t="s">
        <v>9</v>
      </c>
      <c r="AD44" s="57" t="s">
        <v>9</v>
      </c>
      <c r="AE44" s="12" t="s">
        <v>9</v>
      </c>
      <c r="AF44" s="53" t="s">
        <v>9</v>
      </c>
      <c r="AG44" s="12" t="s">
        <v>9</v>
      </c>
      <c r="AH44" s="12" t="s">
        <v>9</v>
      </c>
      <c r="AI44" s="12" t="s">
        <v>9</v>
      </c>
      <c r="AJ44" s="12" t="s">
        <v>9</v>
      </c>
      <c r="AK44" s="12" t="s">
        <v>9</v>
      </c>
      <c r="AL44" s="12" t="s">
        <v>9</v>
      </c>
      <c r="AM44" s="12" t="s">
        <v>9</v>
      </c>
      <c r="AN44" s="12" t="s">
        <v>9</v>
      </c>
      <c r="AO44" s="59">
        <v>46090</v>
      </c>
      <c r="AP44" s="60">
        <v>46153</v>
      </c>
    </row>
    <row r="45" spans="2:42" ht="17.25">
      <c r="B45" s="73"/>
      <c r="C45" s="73"/>
      <c r="D45" s="74" t="s">
        <v>78</v>
      </c>
      <c r="E45" s="75" t="s">
        <v>79</v>
      </c>
      <c r="F45" s="76" t="s">
        <v>169</v>
      </c>
      <c r="G45" s="157" t="s">
        <v>170</v>
      </c>
      <c r="H45" s="48"/>
      <c r="I45" s="48"/>
      <c r="J45" s="48"/>
      <c r="K45" s="125" t="s">
        <v>97</v>
      </c>
      <c r="L45" s="128"/>
      <c r="M45" s="197" t="s">
        <v>97</v>
      </c>
      <c r="N45" s="11"/>
      <c r="O45" s="205" t="s">
        <v>97</v>
      </c>
      <c r="P45" s="12"/>
      <c r="Q45" s="205" t="s">
        <v>97</v>
      </c>
      <c r="R45" s="7"/>
      <c r="S45" s="205"/>
      <c r="T45" s="129"/>
      <c r="U45" s="200" t="s">
        <v>7</v>
      </c>
      <c r="V45" s="206" t="s">
        <v>7</v>
      </c>
      <c r="W45" s="200" t="s">
        <v>7</v>
      </c>
      <c r="X45" s="200" t="s">
        <v>7</v>
      </c>
      <c r="Y45" s="200" t="s">
        <v>7</v>
      </c>
      <c r="Z45" s="200" t="s">
        <v>5</v>
      </c>
      <c r="AA45" s="200" t="s">
        <v>5</v>
      </c>
      <c r="AB45" s="200" t="s">
        <v>5</v>
      </c>
      <c r="AC45" s="197" t="s">
        <v>5</v>
      </c>
      <c r="AD45" s="202"/>
      <c r="AE45" s="203"/>
      <c r="AF45" s="204"/>
      <c r="AG45" s="200"/>
      <c r="AH45" s="203"/>
      <c r="AI45" s="209"/>
      <c r="AJ45" s="80">
        <f>(AI45)+20</f>
        <v>20</v>
      </c>
      <c r="AK45" s="81"/>
      <c r="AL45" s="82"/>
      <c r="AM45" s="81"/>
      <c r="AN45" s="81"/>
      <c r="AO45" s="83"/>
      <c r="AP45" s="84"/>
    </row>
    <row r="46" spans="2:42" ht="17.25">
      <c r="B46" s="73"/>
      <c r="C46" s="73"/>
      <c r="D46" s="74" t="s">
        <v>78</v>
      </c>
      <c r="E46" s="75" t="s">
        <v>79</v>
      </c>
      <c r="F46" s="76" t="s">
        <v>171</v>
      </c>
      <c r="G46" s="76" t="s">
        <v>172</v>
      </c>
      <c r="H46" s="48"/>
      <c r="I46" s="48"/>
      <c r="J46" s="48"/>
      <c r="K46" s="125" t="s">
        <v>97</v>
      </c>
      <c r="L46" s="128"/>
      <c r="M46" s="197" t="s">
        <v>108</v>
      </c>
      <c r="N46" s="11"/>
      <c r="O46" s="205" t="s">
        <v>87</v>
      </c>
      <c r="P46" s="12"/>
      <c r="Q46" s="205" t="s">
        <v>97</v>
      </c>
      <c r="R46" s="7"/>
      <c r="S46" s="205"/>
      <c r="T46" s="129"/>
      <c r="U46" s="200" t="s">
        <v>7</v>
      </c>
      <c r="V46" s="206" t="s">
        <v>7</v>
      </c>
      <c r="W46" s="200" t="s">
        <v>7</v>
      </c>
      <c r="X46" s="200" t="s">
        <v>7</v>
      </c>
      <c r="Y46" s="200" t="s">
        <v>7</v>
      </c>
      <c r="Z46" s="200" t="s">
        <v>5</v>
      </c>
      <c r="AA46" s="200" t="s">
        <v>5</v>
      </c>
      <c r="AB46" s="200" t="s">
        <v>5</v>
      </c>
      <c r="AC46" s="197" t="s">
        <v>5</v>
      </c>
      <c r="AD46" s="202"/>
      <c r="AE46" s="203"/>
      <c r="AF46" s="204"/>
      <c r="AG46" s="200"/>
      <c r="AH46" s="203"/>
      <c r="AI46" s="209"/>
      <c r="AJ46" s="80">
        <f>(AI46)+20</f>
        <v>20</v>
      </c>
      <c r="AK46" s="81"/>
      <c r="AL46" s="82"/>
      <c r="AM46" s="81"/>
      <c r="AN46" s="81"/>
      <c r="AO46" s="83"/>
      <c r="AP46" s="84"/>
    </row>
    <row r="47" spans="2:42" ht="17.25">
      <c r="B47" s="73"/>
      <c r="C47" s="73"/>
      <c r="D47" s="74" t="s">
        <v>83</v>
      </c>
      <c r="E47" s="75" t="s">
        <v>84</v>
      </c>
      <c r="F47" s="76" t="s">
        <v>174</v>
      </c>
      <c r="G47" s="76" t="s">
        <v>18</v>
      </c>
      <c r="H47" s="48"/>
      <c r="I47" s="48"/>
      <c r="J47" s="48"/>
      <c r="K47" s="125" t="s">
        <v>94</v>
      </c>
      <c r="L47" s="126"/>
      <c r="M47" s="197" t="s">
        <v>97</v>
      </c>
      <c r="N47" s="9"/>
      <c r="O47" s="205" t="s">
        <v>97</v>
      </c>
      <c r="P47" s="12"/>
      <c r="Q47" s="205" t="s">
        <v>97</v>
      </c>
      <c r="R47" s="5"/>
      <c r="S47" s="199"/>
      <c r="T47" s="127"/>
      <c r="U47" s="200" t="s">
        <v>7</v>
      </c>
      <c r="V47" s="206" t="s">
        <v>7</v>
      </c>
      <c r="W47" s="200" t="s">
        <v>7</v>
      </c>
      <c r="X47" s="200" t="s">
        <v>7</v>
      </c>
      <c r="Y47" s="200" t="s">
        <v>7</v>
      </c>
      <c r="Z47" s="200" t="s">
        <v>5</v>
      </c>
      <c r="AA47" s="200" t="s">
        <v>5</v>
      </c>
      <c r="AB47" s="200" t="s">
        <v>5</v>
      </c>
      <c r="AC47" s="197" t="s">
        <v>5</v>
      </c>
      <c r="AD47" s="202"/>
      <c r="AE47" s="203"/>
      <c r="AF47" s="204"/>
      <c r="AG47" s="200"/>
      <c r="AH47" s="203"/>
      <c r="AI47" s="209"/>
      <c r="AJ47" s="80">
        <f>(AI47)+20</f>
        <v>20</v>
      </c>
      <c r="AK47" s="81"/>
      <c r="AL47" s="82"/>
      <c r="AM47" s="81"/>
      <c r="AN47" s="81"/>
      <c r="AO47" s="83"/>
      <c r="AP47" s="84"/>
    </row>
    <row r="48" spans="2:42" ht="17.25">
      <c r="B48" s="73"/>
      <c r="C48" s="73"/>
      <c r="D48" s="74" t="s">
        <v>78</v>
      </c>
      <c r="E48" s="75" t="s">
        <v>79</v>
      </c>
      <c r="F48" s="76" t="s">
        <v>175</v>
      </c>
      <c r="G48" s="76" t="s">
        <v>28</v>
      </c>
      <c r="H48" s="48"/>
      <c r="I48" s="48"/>
      <c r="J48" s="48"/>
      <c r="K48" s="125" t="s">
        <v>109</v>
      </c>
      <c r="L48" s="132"/>
      <c r="M48" s="197" t="s">
        <v>204</v>
      </c>
      <c r="N48" s="11"/>
      <c r="O48" s="205" t="s">
        <v>90</v>
      </c>
      <c r="P48" s="12"/>
      <c r="Q48" s="205" t="s">
        <v>97</v>
      </c>
      <c r="R48" s="7"/>
      <c r="S48" s="205"/>
      <c r="T48" s="129"/>
      <c r="U48" s="200" t="s">
        <v>7</v>
      </c>
      <c r="V48" s="206" t="s">
        <v>7</v>
      </c>
      <c r="W48" s="200" t="s">
        <v>7</v>
      </c>
      <c r="X48" s="200" t="s">
        <v>7</v>
      </c>
      <c r="Y48" s="200" t="s">
        <v>7</v>
      </c>
      <c r="Z48" s="200" t="s">
        <v>5</v>
      </c>
      <c r="AA48" s="200" t="s">
        <v>5</v>
      </c>
      <c r="AB48" s="200" t="s">
        <v>5</v>
      </c>
      <c r="AC48" s="197" t="s">
        <v>5</v>
      </c>
      <c r="AD48" s="202"/>
      <c r="AE48" s="203"/>
      <c r="AF48" s="204"/>
      <c r="AG48" s="200"/>
      <c r="AH48" s="203"/>
      <c r="AI48" s="209"/>
      <c r="AJ48" s="80">
        <f>(AI48)+20</f>
        <v>20</v>
      </c>
      <c r="AK48" s="81"/>
      <c r="AL48" s="82"/>
      <c r="AM48" s="81"/>
      <c r="AN48" s="81"/>
      <c r="AO48" s="83"/>
      <c r="AP48" s="84"/>
    </row>
    <row r="49" spans="2:42" ht="17.25">
      <c r="B49" s="73"/>
      <c r="C49" s="73"/>
      <c r="D49" s="74" t="s">
        <v>83</v>
      </c>
      <c r="E49" s="75" t="s">
        <v>84</v>
      </c>
      <c r="F49" s="76" t="s">
        <v>175</v>
      </c>
      <c r="G49" s="76" t="s">
        <v>17</v>
      </c>
      <c r="H49" s="48"/>
      <c r="I49" s="48"/>
      <c r="J49" s="48"/>
      <c r="K49" s="125" t="s">
        <v>97</v>
      </c>
      <c r="L49" s="126"/>
      <c r="M49" s="197" t="s">
        <v>204</v>
      </c>
      <c r="N49" s="9"/>
      <c r="O49" s="205" t="s">
        <v>105</v>
      </c>
      <c r="P49" s="12"/>
      <c r="Q49" s="205" t="s">
        <v>97</v>
      </c>
      <c r="R49" s="5"/>
      <c r="S49" s="199"/>
      <c r="T49" s="127"/>
      <c r="U49" s="200" t="s">
        <v>7</v>
      </c>
      <c r="V49" s="206" t="s">
        <v>7</v>
      </c>
      <c r="W49" s="200" t="s">
        <v>7</v>
      </c>
      <c r="X49" s="200" t="s">
        <v>7</v>
      </c>
      <c r="Y49" s="200" t="s">
        <v>7</v>
      </c>
      <c r="Z49" s="200" t="s">
        <v>5</v>
      </c>
      <c r="AA49" s="200" t="s">
        <v>5</v>
      </c>
      <c r="AB49" s="200" t="s">
        <v>5</v>
      </c>
      <c r="AC49" s="197" t="s">
        <v>5</v>
      </c>
      <c r="AD49" s="202"/>
      <c r="AE49" s="203"/>
      <c r="AF49" s="204"/>
      <c r="AG49" s="200"/>
      <c r="AH49" s="203"/>
      <c r="AI49" s="209"/>
      <c r="AJ49" s="80">
        <f>(AI49)+20</f>
        <v>20</v>
      </c>
      <c r="AK49" s="81"/>
      <c r="AL49" s="82"/>
      <c r="AM49" s="81"/>
      <c r="AN49" s="81"/>
      <c r="AO49" s="83"/>
      <c r="AP49" s="84"/>
    </row>
    <row r="50" spans="2:42" ht="17.25" hidden="1">
      <c r="B50" s="56"/>
      <c r="C50" s="56"/>
      <c r="D50" s="44" t="s">
        <v>78</v>
      </c>
      <c r="E50" s="45" t="s">
        <v>79</v>
      </c>
      <c r="F50" s="46" t="s">
        <v>176</v>
      </c>
      <c r="G50" s="46" t="s">
        <v>177</v>
      </c>
      <c r="H50" s="12"/>
      <c r="I50" s="12"/>
      <c r="J50" s="12"/>
      <c r="K50" s="12" t="s">
        <v>201</v>
      </c>
      <c r="L50" s="12" t="s">
        <v>201</v>
      </c>
      <c r="M50" s="12" t="s">
        <v>201</v>
      </c>
      <c r="N50" s="12" t="s">
        <v>9</v>
      </c>
      <c r="O50" s="12" t="s">
        <v>9</v>
      </c>
      <c r="P50" s="12" t="s">
        <v>9</v>
      </c>
      <c r="Q50" s="12" t="s">
        <v>9</v>
      </c>
      <c r="R50" s="12" t="s">
        <v>9</v>
      </c>
      <c r="S50" s="12" t="s">
        <v>9</v>
      </c>
      <c r="T50" s="12" t="s">
        <v>9</v>
      </c>
      <c r="U50" s="12" t="s">
        <v>9</v>
      </c>
      <c r="V50" s="12" t="s">
        <v>9</v>
      </c>
      <c r="W50" s="12" t="s">
        <v>9</v>
      </c>
      <c r="X50" s="12" t="s">
        <v>9</v>
      </c>
      <c r="Y50" s="12" t="s">
        <v>9</v>
      </c>
      <c r="Z50" s="12" t="s">
        <v>9</v>
      </c>
      <c r="AA50" s="12" t="s">
        <v>9</v>
      </c>
      <c r="AB50" s="12" t="s">
        <v>9</v>
      </c>
      <c r="AC50" s="12" t="s">
        <v>9</v>
      </c>
      <c r="AD50" s="57" t="s">
        <v>9</v>
      </c>
      <c r="AE50" s="12" t="s">
        <v>9</v>
      </c>
      <c r="AF50" s="53" t="s">
        <v>9</v>
      </c>
      <c r="AG50" s="12" t="s">
        <v>9</v>
      </c>
      <c r="AH50" s="12" t="s">
        <v>9</v>
      </c>
      <c r="AI50" s="12" t="s">
        <v>9</v>
      </c>
      <c r="AJ50" s="12" t="s">
        <v>9</v>
      </c>
      <c r="AK50" s="12" t="s">
        <v>9</v>
      </c>
      <c r="AL50" s="12" t="s">
        <v>9</v>
      </c>
      <c r="AM50" s="12" t="s">
        <v>9</v>
      </c>
      <c r="AN50" s="12" t="s">
        <v>9</v>
      </c>
      <c r="AO50" s="59">
        <v>46139</v>
      </c>
      <c r="AP50" s="60">
        <v>46027</v>
      </c>
    </row>
    <row r="51" spans="2:42" ht="17.25">
      <c r="B51" s="73"/>
      <c r="C51" s="73"/>
      <c r="D51" s="74" t="s">
        <v>83</v>
      </c>
      <c r="E51" s="75" t="s">
        <v>84</v>
      </c>
      <c r="F51" s="76" t="s">
        <v>178</v>
      </c>
      <c r="G51" s="76" t="s">
        <v>27</v>
      </c>
      <c r="H51" s="48"/>
      <c r="I51" s="48"/>
      <c r="J51" s="48"/>
      <c r="K51" s="125" t="s">
        <v>97</v>
      </c>
      <c r="L51" s="126"/>
      <c r="M51" s="197" t="s">
        <v>97</v>
      </c>
      <c r="N51" s="9"/>
      <c r="O51" s="205" t="s">
        <v>97</v>
      </c>
      <c r="P51" s="12"/>
      <c r="Q51" s="205" t="s">
        <v>97</v>
      </c>
      <c r="R51" s="5"/>
      <c r="S51" s="199"/>
      <c r="T51" s="127"/>
      <c r="U51" s="200" t="s">
        <v>7</v>
      </c>
      <c r="V51" s="206" t="s">
        <v>7</v>
      </c>
      <c r="W51" s="200" t="s">
        <v>7</v>
      </c>
      <c r="X51" s="200" t="s">
        <v>7</v>
      </c>
      <c r="Y51" s="200" t="s">
        <v>7</v>
      </c>
      <c r="Z51" s="200" t="s">
        <v>5</v>
      </c>
      <c r="AA51" s="200" t="s">
        <v>5</v>
      </c>
      <c r="AB51" s="200" t="s">
        <v>5</v>
      </c>
      <c r="AC51" s="197" t="s">
        <v>5</v>
      </c>
      <c r="AD51" s="202"/>
      <c r="AE51" s="203"/>
      <c r="AF51" s="204"/>
      <c r="AG51" s="200"/>
      <c r="AH51" s="203"/>
      <c r="AI51" s="209"/>
      <c r="AJ51" s="80">
        <f>(AI51)+20</f>
        <v>20</v>
      </c>
      <c r="AK51" s="81"/>
      <c r="AL51" s="82"/>
      <c r="AM51" s="81"/>
      <c r="AN51" s="81"/>
      <c r="AO51" s="83"/>
      <c r="AP51" s="84"/>
    </row>
    <row r="52" spans="2:42" ht="17.25" hidden="1">
      <c r="B52" s="56"/>
      <c r="C52" s="56"/>
      <c r="D52" s="44" t="s">
        <v>83</v>
      </c>
      <c r="E52" s="45" t="s">
        <v>84</v>
      </c>
      <c r="F52" s="46" t="s">
        <v>179</v>
      </c>
      <c r="G52" s="46" t="s">
        <v>30</v>
      </c>
      <c r="H52" s="12"/>
      <c r="I52" s="12"/>
      <c r="J52" s="12"/>
      <c r="K52" s="12" t="s">
        <v>201</v>
      </c>
      <c r="L52" s="12" t="s">
        <v>201</v>
      </c>
      <c r="M52" s="12" t="s">
        <v>201</v>
      </c>
      <c r="N52" s="12" t="s">
        <v>9</v>
      </c>
      <c r="O52" s="12" t="s">
        <v>9</v>
      </c>
      <c r="P52" s="12" t="s">
        <v>9</v>
      </c>
      <c r="Q52" s="12" t="s">
        <v>9</v>
      </c>
      <c r="R52" s="12" t="s">
        <v>9</v>
      </c>
      <c r="S52" s="12" t="s">
        <v>9</v>
      </c>
      <c r="T52" s="12" t="s">
        <v>9</v>
      </c>
      <c r="U52" s="12" t="s">
        <v>9</v>
      </c>
      <c r="V52" s="12" t="s">
        <v>9</v>
      </c>
      <c r="W52" s="12" t="s">
        <v>9</v>
      </c>
      <c r="X52" s="12" t="s">
        <v>9</v>
      </c>
      <c r="Y52" s="12" t="s">
        <v>9</v>
      </c>
      <c r="Z52" s="12" t="s">
        <v>9</v>
      </c>
      <c r="AA52" s="12" t="s">
        <v>9</v>
      </c>
      <c r="AB52" s="12" t="s">
        <v>9</v>
      </c>
      <c r="AC52" s="12" t="s">
        <v>9</v>
      </c>
      <c r="AD52" s="57" t="s">
        <v>9</v>
      </c>
      <c r="AE52" s="42" t="s">
        <v>9</v>
      </c>
      <c r="AF52" s="42" t="s">
        <v>9</v>
      </c>
      <c r="AG52" s="42" t="s">
        <v>9</v>
      </c>
      <c r="AH52" s="42" t="s">
        <v>9</v>
      </c>
      <c r="AI52" s="42" t="s">
        <v>9</v>
      </c>
      <c r="AJ52" s="42" t="s">
        <v>9</v>
      </c>
      <c r="AK52" s="42" t="s">
        <v>9</v>
      </c>
      <c r="AL52" s="42" t="s">
        <v>9</v>
      </c>
      <c r="AM52" s="42" t="s">
        <v>9</v>
      </c>
      <c r="AN52" s="42" t="s">
        <v>9</v>
      </c>
      <c r="AO52" s="62" t="s">
        <v>180</v>
      </c>
      <c r="AP52" s="63"/>
    </row>
    <row r="53" spans="2:42" hidden="1">
      <c r="B53" s="146">
        <v>46119</v>
      </c>
      <c r="C53" s="73" t="s">
        <v>181</v>
      </c>
      <c r="D53" s="74" t="s">
        <v>78</v>
      </c>
      <c r="E53" s="75" t="s">
        <v>79</v>
      </c>
      <c r="F53" s="76" t="s">
        <v>157</v>
      </c>
      <c r="G53" s="76" t="s">
        <v>182</v>
      </c>
      <c r="H53" s="12" t="s">
        <v>9</v>
      </c>
      <c r="I53" s="12" t="s">
        <v>9</v>
      </c>
      <c r="J53" s="12" t="s">
        <v>9</v>
      </c>
      <c r="K53" s="12" t="s">
        <v>9</v>
      </c>
      <c r="L53" s="12" t="s">
        <v>9</v>
      </c>
      <c r="M53" s="12" t="s">
        <v>9</v>
      </c>
      <c r="N53" s="12" t="s">
        <v>9</v>
      </c>
      <c r="O53" s="12" t="s">
        <v>9</v>
      </c>
      <c r="P53" s="12" t="s">
        <v>9</v>
      </c>
      <c r="Q53" s="12" t="s">
        <v>9</v>
      </c>
      <c r="R53" s="12" t="s">
        <v>9</v>
      </c>
      <c r="S53" s="12" t="s">
        <v>9</v>
      </c>
      <c r="T53" s="12" t="s">
        <v>9</v>
      </c>
      <c r="U53" s="12" t="s">
        <v>9</v>
      </c>
      <c r="V53" s="12" t="s">
        <v>9</v>
      </c>
      <c r="W53" s="12" t="s">
        <v>9</v>
      </c>
      <c r="X53" s="12" t="s">
        <v>9</v>
      </c>
      <c r="Y53" s="12" t="s">
        <v>9</v>
      </c>
      <c r="Z53" s="12" t="s">
        <v>9</v>
      </c>
      <c r="AA53" s="12" t="s">
        <v>9</v>
      </c>
      <c r="AB53" s="12" t="s">
        <v>9</v>
      </c>
      <c r="AC53" s="12" t="s">
        <v>9</v>
      </c>
      <c r="AD53" s="57" t="s">
        <v>9</v>
      </c>
      <c r="AE53" s="218">
        <v>46119</v>
      </c>
      <c r="AF53" s="219">
        <v>46120</v>
      </c>
      <c r="AG53" s="220" t="s">
        <v>24</v>
      </c>
      <c r="AH53" s="221" t="s">
        <v>185</v>
      </c>
      <c r="AI53" s="222">
        <v>46121</v>
      </c>
      <c r="AJ53" s="80">
        <v>46360</v>
      </c>
      <c r="AK53" s="95" t="s">
        <v>186</v>
      </c>
      <c r="AL53" s="96" t="s">
        <v>24</v>
      </c>
      <c r="AM53" s="95" t="s">
        <v>24</v>
      </c>
      <c r="AN53" s="95" t="s">
        <v>24</v>
      </c>
      <c r="AO53" s="97"/>
      <c r="AP53" s="98"/>
    </row>
    <row r="54" spans="2:42" ht="17.25">
      <c r="B54" s="147">
        <v>46146</v>
      </c>
      <c r="C54" s="90">
        <v>0.16666666666666666</v>
      </c>
      <c r="D54" s="74" t="s">
        <v>78</v>
      </c>
      <c r="E54" s="75" t="s">
        <v>79</v>
      </c>
      <c r="F54" s="76" t="s">
        <v>187</v>
      </c>
      <c r="G54" s="91" t="s">
        <v>188</v>
      </c>
      <c r="H54" s="51"/>
      <c r="I54" s="51"/>
      <c r="J54" s="51"/>
      <c r="K54" s="125" t="s">
        <v>109</v>
      </c>
      <c r="L54" s="133" t="s">
        <v>183</v>
      </c>
      <c r="M54" s="197" t="s">
        <v>109</v>
      </c>
      <c r="N54" s="43"/>
      <c r="O54" s="214" t="s">
        <v>90</v>
      </c>
      <c r="P54" s="52"/>
      <c r="Q54" s="205" t="s">
        <v>97</v>
      </c>
      <c r="R54" s="28"/>
      <c r="S54" s="205"/>
      <c r="T54" s="136"/>
      <c r="U54" s="200" t="s">
        <v>7</v>
      </c>
      <c r="V54" s="206" t="s">
        <v>7</v>
      </c>
      <c r="W54" s="200" t="s">
        <v>7</v>
      </c>
      <c r="X54" s="200" t="s">
        <v>7</v>
      </c>
      <c r="Y54" s="200" t="s">
        <v>7</v>
      </c>
      <c r="Z54" s="200" t="s">
        <v>5</v>
      </c>
      <c r="AA54" s="216" t="s">
        <v>5</v>
      </c>
      <c r="AB54" s="216" t="s">
        <v>5</v>
      </c>
      <c r="AC54" s="214" t="s">
        <v>5</v>
      </c>
      <c r="AD54" s="223">
        <v>46146</v>
      </c>
      <c r="AE54" s="224">
        <v>46146</v>
      </c>
      <c r="AF54" s="224">
        <v>46146</v>
      </c>
      <c r="AG54" s="216" t="s">
        <v>24</v>
      </c>
      <c r="AH54" s="215" t="s">
        <v>189</v>
      </c>
      <c r="AI54" s="225">
        <v>46239</v>
      </c>
      <c r="AJ54" s="99">
        <v>46331</v>
      </c>
      <c r="AK54" s="95" t="s">
        <v>186</v>
      </c>
      <c r="AL54" s="100" t="s">
        <v>189</v>
      </c>
      <c r="AM54" s="101" t="s">
        <v>24</v>
      </c>
      <c r="AN54" s="101" t="s">
        <v>24</v>
      </c>
      <c r="AO54" s="102"/>
      <c r="AP54" s="102"/>
    </row>
    <row r="55" spans="2:42" ht="17.25" hidden="1">
      <c r="B55" s="147">
        <v>46174</v>
      </c>
      <c r="C55" s="90">
        <v>0.16666666666666666</v>
      </c>
      <c r="D55" s="92" t="s">
        <v>83</v>
      </c>
      <c r="E55" s="75" t="s">
        <v>84</v>
      </c>
      <c r="F55" s="180" t="s">
        <v>187</v>
      </c>
      <c r="G55" s="93" t="s">
        <v>190</v>
      </c>
      <c r="H55" s="51"/>
      <c r="I55" s="51"/>
      <c r="J55" s="51"/>
      <c r="K55" s="125" t="s">
        <v>87</v>
      </c>
      <c r="L55" s="134" t="s">
        <v>184</v>
      </c>
      <c r="M55" s="197" t="s">
        <v>109</v>
      </c>
      <c r="N55" s="26"/>
      <c r="O55" s="214" t="s">
        <v>105</v>
      </c>
      <c r="P55" s="26" t="s">
        <v>226</v>
      </c>
      <c r="Q55" s="214" t="s">
        <v>109</v>
      </c>
      <c r="R55" s="26"/>
      <c r="S55" s="214"/>
      <c r="T55" s="136"/>
      <c r="U55" s="200" t="s">
        <v>7</v>
      </c>
      <c r="V55" s="206" t="s">
        <v>7</v>
      </c>
      <c r="W55" s="200" t="s">
        <v>7</v>
      </c>
      <c r="X55" s="200" t="s">
        <v>7</v>
      </c>
      <c r="Y55" s="200" t="s">
        <v>7</v>
      </c>
      <c r="Z55" s="200" t="s">
        <v>5</v>
      </c>
      <c r="AA55" s="216" t="s">
        <v>5</v>
      </c>
      <c r="AB55" s="216"/>
      <c r="AC55" s="214"/>
      <c r="AD55" s="223"/>
      <c r="AE55" s="224"/>
      <c r="AF55" s="226">
        <v>46175</v>
      </c>
      <c r="AG55" s="226">
        <v>46175</v>
      </c>
      <c r="AH55" s="215" t="s">
        <v>191</v>
      </c>
      <c r="AI55" s="225">
        <v>46175</v>
      </c>
      <c r="AJ55" s="99">
        <f>Tabela22[[#This Row],[DATA DE INICIO DAS TRILHAS]]+20</f>
        <v>46195</v>
      </c>
      <c r="AK55" s="95" t="s">
        <v>186</v>
      </c>
      <c r="AL55" s="100" t="s">
        <v>24</v>
      </c>
      <c r="AM55" s="101"/>
      <c r="AN55" s="101"/>
      <c r="AO55" s="102"/>
      <c r="AP55" s="102"/>
    </row>
    <row r="56" spans="2:42" ht="17.25">
      <c r="B56" s="147">
        <v>46188</v>
      </c>
      <c r="C56" s="90">
        <v>0.16666666666666666</v>
      </c>
      <c r="D56" s="92" t="s">
        <v>83</v>
      </c>
      <c r="E56" s="94" t="s">
        <v>84</v>
      </c>
      <c r="F56" s="76" t="s">
        <v>192</v>
      </c>
      <c r="G56" s="93" t="s">
        <v>193</v>
      </c>
      <c r="I56" s="51"/>
      <c r="J56" s="51"/>
      <c r="K56" s="125" t="s">
        <v>94</v>
      </c>
      <c r="L56" s="134" t="s">
        <v>184</v>
      </c>
      <c r="M56" s="134" t="s">
        <v>204</v>
      </c>
      <c r="N56" s="134" t="s">
        <v>184</v>
      </c>
      <c r="O56" s="214" t="s">
        <v>90</v>
      </c>
      <c r="P56" s="26"/>
      <c r="Q56" s="214"/>
      <c r="R56" s="26"/>
      <c r="S56" s="214"/>
      <c r="T56" s="136"/>
      <c r="U56" s="200" t="s">
        <v>7</v>
      </c>
      <c r="V56" s="206" t="s">
        <v>7</v>
      </c>
      <c r="W56" s="200" t="s">
        <v>7</v>
      </c>
      <c r="X56" s="200" t="s">
        <v>7</v>
      </c>
      <c r="Y56" s="200" t="s">
        <v>7</v>
      </c>
      <c r="Z56" s="200" t="s">
        <v>5</v>
      </c>
      <c r="AA56" s="216"/>
      <c r="AB56" s="216"/>
      <c r="AC56" s="214"/>
      <c r="AD56" s="223">
        <v>46188</v>
      </c>
      <c r="AE56" s="223">
        <v>46189</v>
      </c>
      <c r="AF56" s="224">
        <v>46189</v>
      </c>
      <c r="AG56" s="226">
        <v>46189</v>
      </c>
      <c r="AH56" s="215" t="s">
        <v>191</v>
      </c>
      <c r="AI56" s="225"/>
      <c r="AJ56" s="225"/>
      <c r="AK56" s="101"/>
      <c r="AL56" s="100"/>
      <c r="AM56" s="101"/>
      <c r="AN56" s="101"/>
      <c r="AO56" s="102"/>
      <c r="AP56" s="102"/>
    </row>
    <row r="57" spans="2:42" ht="17.25">
      <c r="B57" s="147">
        <v>46209</v>
      </c>
      <c r="C57" s="90">
        <v>0.16666666666666666</v>
      </c>
      <c r="D57" s="74" t="s">
        <v>227</v>
      </c>
      <c r="E57" s="74" t="s">
        <v>102</v>
      </c>
      <c r="F57" s="76" t="s">
        <v>158</v>
      </c>
      <c r="G57" s="93" t="s">
        <v>228</v>
      </c>
      <c r="H57" s="51"/>
      <c r="I57" s="51"/>
      <c r="J57" s="51"/>
      <c r="K57" s="135" t="s">
        <v>229</v>
      </c>
      <c r="L57" s="134" t="s">
        <v>184</v>
      </c>
      <c r="M57" s="134" t="s">
        <v>106</v>
      </c>
      <c r="N57" s="134" t="s">
        <v>184</v>
      </c>
      <c r="O57" s="216" t="s">
        <v>90</v>
      </c>
      <c r="P57" s="52"/>
      <c r="Q57" s="216"/>
      <c r="R57" s="27"/>
      <c r="S57" s="216"/>
      <c r="T57" s="136"/>
      <c r="U57" s="200" t="s">
        <v>7</v>
      </c>
      <c r="V57" s="206" t="s">
        <v>7</v>
      </c>
      <c r="W57" s="200" t="s">
        <v>7</v>
      </c>
      <c r="X57" s="200" t="s">
        <v>7</v>
      </c>
      <c r="Y57" s="200" t="s">
        <v>7</v>
      </c>
      <c r="Z57" s="216"/>
      <c r="AA57" s="216"/>
      <c r="AB57" s="216"/>
      <c r="AC57" s="214"/>
      <c r="AD57" s="223">
        <v>46210</v>
      </c>
      <c r="AE57" s="227">
        <v>46210</v>
      </c>
      <c r="AF57" s="224">
        <v>46210</v>
      </c>
      <c r="AG57" s="226">
        <v>46210</v>
      </c>
      <c r="AH57" s="215" t="s">
        <v>191</v>
      </c>
      <c r="AI57" s="225">
        <v>46210</v>
      </c>
      <c r="AJ57" s="228">
        <f>Tabela22[[#This Row],[DATA DE INICIO DAS TRILHAS]]+20</f>
        <v>46230</v>
      </c>
      <c r="AK57" s="95" t="s">
        <v>186</v>
      </c>
      <c r="AL57" s="100"/>
      <c r="AM57" s="101"/>
      <c r="AN57" s="101"/>
      <c r="AO57" s="102"/>
      <c r="AP57" s="102"/>
    </row>
    <row r="58" spans="2:42" ht="17.25">
      <c r="B58" s="146">
        <v>46209</v>
      </c>
      <c r="C58" s="90">
        <v>0.16666666666666666</v>
      </c>
      <c r="D58" s="92" t="s">
        <v>83</v>
      </c>
      <c r="E58" s="94" t="s">
        <v>84</v>
      </c>
      <c r="F58" s="76" t="s">
        <v>230</v>
      </c>
      <c r="G58" s="121" t="s">
        <v>231</v>
      </c>
      <c r="H58" s="51"/>
      <c r="I58" s="51"/>
      <c r="J58" s="51"/>
      <c r="K58" s="135" t="s">
        <v>229</v>
      </c>
      <c r="L58" s="134" t="s">
        <v>184</v>
      </c>
      <c r="M58" s="134" t="s">
        <v>204</v>
      </c>
      <c r="N58" s="134" t="s">
        <v>184</v>
      </c>
      <c r="O58" s="205" t="s">
        <v>109</v>
      </c>
      <c r="P58" s="52"/>
      <c r="Q58" s="216"/>
      <c r="R58" s="27"/>
      <c r="S58" s="216"/>
      <c r="T58" s="136"/>
      <c r="U58" s="200" t="s">
        <v>7</v>
      </c>
      <c r="V58" s="206" t="s">
        <v>7</v>
      </c>
      <c r="W58" s="200" t="s">
        <v>7</v>
      </c>
      <c r="X58" s="200" t="s">
        <v>7</v>
      </c>
      <c r="Y58" s="200" t="s">
        <v>7</v>
      </c>
      <c r="Z58" s="216"/>
      <c r="AA58" s="216"/>
      <c r="AB58" s="216"/>
      <c r="AC58" s="214"/>
      <c r="AD58" s="223">
        <v>46210</v>
      </c>
      <c r="AE58" s="227">
        <v>46210</v>
      </c>
      <c r="AF58" s="224">
        <v>46210</v>
      </c>
      <c r="AG58" s="226">
        <v>46210</v>
      </c>
      <c r="AH58" s="215" t="s">
        <v>191</v>
      </c>
      <c r="AI58" s="225">
        <v>46210</v>
      </c>
      <c r="AJ58" s="228">
        <f>Tabela22[[#This Row],[DATA DE INICIO DAS TRILHAS]]+20</f>
        <v>46230</v>
      </c>
      <c r="AK58" s="95" t="s">
        <v>186</v>
      </c>
      <c r="AL58" s="100"/>
      <c r="AM58" s="101"/>
      <c r="AN58" s="101"/>
      <c r="AO58" s="102"/>
      <c r="AP58" s="102"/>
    </row>
    <row r="59" spans="2:42" hidden="1">
      <c r="B59" s="148">
        <v>46223</v>
      </c>
      <c r="C59" s="137">
        <v>0.16666666666666666</v>
      </c>
      <c r="D59" s="92" t="s">
        <v>83</v>
      </c>
      <c r="E59" s="94" t="s">
        <v>84</v>
      </c>
      <c r="F59" s="76" t="s">
        <v>134</v>
      </c>
      <c r="G59" s="76" t="s">
        <v>232</v>
      </c>
      <c r="H59" s="12" t="s">
        <v>9</v>
      </c>
      <c r="I59" s="12" t="s">
        <v>9</v>
      </c>
      <c r="J59" s="12" t="s">
        <v>9</v>
      </c>
      <c r="K59" s="12" t="s">
        <v>9</v>
      </c>
      <c r="L59" s="12" t="s">
        <v>9</v>
      </c>
      <c r="M59" s="12" t="s">
        <v>9</v>
      </c>
      <c r="N59" s="12" t="s">
        <v>9</v>
      </c>
      <c r="O59" s="12" t="s">
        <v>9</v>
      </c>
      <c r="P59" s="12" t="s">
        <v>9</v>
      </c>
      <c r="Q59" s="12" t="s">
        <v>9</v>
      </c>
      <c r="R59" s="12" t="s">
        <v>9</v>
      </c>
      <c r="S59" s="12" t="s">
        <v>9</v>
      </c>
      <c r="T59" s="12" t="s">
        <v>9</v>
      </c>
      <c r="U59" s="12" t="s">
        <v>9</v>
      </c>
      <c r="V59" s="12" t="s">
        <v>9</v>
      </c>
      <c r="W59" s="12" t="s">
        <v>9</v>
      </c>
      <c r="X59" s="12" t="s">
        <v>9</v>
      </c>
      <c r="Y59" s="12" t="s">
        <v>9</v>
      </c>
      <c r="Z59" s="12" t="s">
        <v>9</v>
      </c>
      <c r="AA59" s="12" t="s">
        <v>9</v>
      </c>
      <c r="AB59" s="12" t="s">
        <v>9</v>
      </c>
      <c r="AC59" s="12" t="s">
        <v>9</v>
      </c>
      <c r="AD59" s="12" t="s">
        <v>9</v>
      </c>
      <c r="AE59" s="12" t="s">
        <v>9</v>
      </c>
      <c r="AF59" s="12" t="s">
        <v>9</v>
      </c>
      <c r="AG59" s="12" t="s">
        <v>9</v>
      </c>
      <c r="AH59" s="12" t="s">
        <v>9</v>
      </c>
      <c r="AI59" s="12" t="s">
        <v>9</v>
      </c>
      <c r="AJ59" s="12" t="s">
        <v>9</v>
      </c>
      <c r="AK59" s="12" t="s">
        <v>9</v>
      </c>
      <c r="AL59" s="12" t="s">
        <v>9</v>
      </c>
      <c r="AM59" s="12" t="s">
        <v>9</v>
      </c>
      <c r="AN59" s="12" t="s">
        <v>9</v>
      </c>
      <c r="AO59" s="12" t="s">
        <v>233</v>
      </c>
      <c r="AP59" s="12" t="s">
        <v>234</v>
      </c>
    </row>
    <row r="60" spans="2:42" ht="17.25">
      <c r="B60" s="148">
        <v>46224</v>
      </c>
      <c r="C60" s="137">
        <v>0.125</v>
      </c>
      <c r="D60" s="92" t="s">
        <v>83</v>
      </c>
      <c r="E60" s="94" t="s">
        <v>84</v>
      </c>
      <c r="F60" s="93" t="s">
        <v>235</v>
      </c>
      <c r="G60" s="121" t="s">
        <v>236</v>
      </c>
      <c r="H60" s="51"/>
      <c r="I60" s="51"/>
      <c r="J60" s="51"/>
      <c r="K60" s="135" t="s">
        <v>229</v>
      </c>
      <c r="L60" s="134" t="s">
        <v>184</v>
      </c>
      <c r="M60" s="134" t="s">
        <v>184</v>
      </c>
      <c r="N60" s="134" t="s">
        <v>184</v>
      </c>
      <c r="O60" s="205" t="s">
        <v>109</v>
      </c>
      <c r="P60" s="52"/>
      <c r="Q60" s="27"/>
      <c r="R60" s="28"/>
      <c r="S60" s="27"/>
      <c r="T60" s="28"/>
      <c r="U60" s="27"/>
      <c r="V60" s="27"/>
      <c r="W60" s="27"/>
      <c r="X60" s="27"/>
      <c r="Y60" s="214"/>
      <c r="Z60" s="27"/>
      <c r="AA60" s="27"/>
      <c r="AB60" s="28"/>
      <c r="AC60" s="26"/>
      <c r="AD60" s="138"/>
      <c r="AE60" s="28"/>
      <c r="AF60" s="139"/>
      <c r="AG60" s="27"/>
      <c r="AH60" s="28"/>
      <c r="AI60" s="28"/>
      <c r="AJ60" s="28"/>
      <c r="AK60" s="140"/>
      <c r="AL60" s="141"/>
      <c r="AM60" s="28"/>
      <c r="AN60" s="28"/>
      <c r="AO60" s="142"/>
      <c r="AP60" s="142"/>
    </row>
    <row r="61" spans="2:42" ht="17.25">
      <c r="B61" s="148">
        <v>46237</v>
      </c>
      <c r="C61" s="137">
        <v>0.16666666666666666</v>
      </c>
      <c r="D61" s="76" t="s">
        <v>78</v>
      </c>
      <c r="E61" s="76" t="s">
        <v>79</v>
      </c>
      <c r="F61" s="76" t="s">
        <v>134</v>
      </c>
      <c r="G61" s="76" t="s">
        <v>237</v>
      </c>
      <c r="H61" s="48"/>
      <c r="I61" s="48"/>
      <c r="J61" s="48"/>
      <c r="K61" s="9"/>
      <c r="L61" s="9"/>
      <c r="M61" s="134" t="s">
        <v>184</v>
      </c>
      <c r="N61" s="134" t="s">
        <v>184</v>
      </c>
      <c r="O61" s="205" t="s">
        <v>109</v>
      </c>
      <c r="P61" s="12"/>
      <c r="Q61" s="13"/>
      <c r="R61" s="5"/>
      <c r="S61" s="13"/>
      <c r="T61" s="5"/>
      <c r="U61" s="13"/>
      <c r="V61" s="13"/>
      <c r="W61" s="13"/>
      <c r="X61" s="27"/>
      <c r="Y61" s="214"/>
      <c r="Z61" s="13"/>
      <c r="AA61" s="13"/>
      <c r="AB61" s="5"/>
      <c r="AC61" s="9"/>
      <c r="AD61" s="143"/>
      <c r="AE61" s="5"/>
      <c r="AF61" s="54"/>
      <c r="AG61" s="13"/>
      <c r="AH61" s="5"/>
      <c r="AI61" s="5"/>
      <c r="AJ61" s="5"/>
      <c r="AK61" s="144"/>
      <c r="AL61" s="145"/>
      <c r="AM61" s="5"/>
      <c r="AN61" s="5"/>
      <c r="AO61" s="69"/>
      <c r="AP61" s="69"/>
    </row>
    <row r="62" spans="2:42" ht="17.25">
      <c r="B62" s="148">
        <v>46239</v>
      </c>
      <c r="C62" s="137">
        <v>0.16666666666666666</v>
      </c>
      <c r="D62" s="158"/>
      <c r="E62" s="159"/>
      <c r="F62" s="160"/>
      <c r="G62" s="46"/>
      <c r="H62" s="48"/>
      <c r="I62" s="48"/>
      <c r="J62" s="48"/>
      <c r="K62" s="9"/>
      <c r="L62" s="134"/>
      <c r="M62" s="134"/>
      <c r="N62" s="134"/>
      <c r="O62" s="205" t="s">
        <v>97</v>
      </c>
      <c r="P62" s="12"/>
      <c r="Q62" s="13"/>
      <c r="R62" s="5"/>
      <c r="S62" s="13"/>
      <c r="T62" s="5"/>
      <c r="U62" s="13"/>
      <c r="V62" s="13"/>
      <c r="W62" s="13"/>
      <c r="X62" s="27"/>
      <c r="Y62" s="214"/>
      <c r="Z62" s="13"/>
      <c r="AA62" s="13"/>
      <c r="AB62" s="5"/>
      <c r="AC62" s="9"/>
      <c r="AD62" s="143"/>
      <c r="AE62" s="5"/>
      <c r="AF62" s="54"/>
      <c r="AG62" s="13"/>
      <c r="AH62" s="5"/>
      <c r="AI62" s="5"/>
      <c r="AJ62" s="5"/>
      <c r="AK62" s="144"/>
      <c r="AL62" s="145"/>
      <c r="AM62" s="5"/>
      <c r="AN62" s="5"/>
      <c r="AO62" s="69"/>
      <c r="AP62" s="69"/>
    </row>
    <row r="63" spans="2:42" ht="17.25">
      <c r="B63" s="153" t="s">
        <v>238</v>
      </c>
      <c r="C63" s="137">
        <v>0.16666666666666666</v>
      </c>
      <c r="D63" s="76" t="s">
        <v>83</v>
      </c>
      <c r="E63" s="76" t="s">
        <v>84</v>
      </c>
      <c r="F63" s="76" t="s">
        <v>239</v>
      </c>
      <c r="G63" s="76" t="s">
        <v>240</v>
      </c>
      <c r="H63" s="51"/>
      <c r="I63" s="51"/>
      <c r="J63" s="51"/>
      <c r="K63" s="26"/>
      <c r="L63" s="134" t="s">
        <v>184</v>
      </c>
      <c r="M63" s="134" t="s">
        <v>184</v>
      </c>
      <c r="N63" s="134" t="s">
        <v>184</v>
      </c>
      <c r="O63" s="205" t="s">
        <v>97</v>
      </c>
      <c r="P63" s="52"/>
      <c r="Q63" s="27"/>
      <c r="R63" s="28"/>
      <c r="S63" s="27"/>
      <c r="T63" s="28"/>
      <c r="U63" s="27"/>
      <c r="V63" s="27"/>
      <c r="W63" s="27"/>
      <c r="X63" s="27"/>
      <c r="Y63" s="214"/>
      <c r="Z63" s="27"/>
      <c r="AA63" s="27"/>
      <c r="AB63" s="28"/>
      <c r="AC63" s="26"/>
      <c r="AD63" s="138"/>
      <c r="AE63" s="28"/>
      <c r="AF63" s="139"/>
      <c r="AG63" s="27"/>
      <c r="AH63" s="28"/>
      <c r="AI63" s="28"/>
      <c r="AJ63" s="28"/>
      <c r="AK63" s="140"/>
      <c r="AL63" s="27"/>
      <c r="AM63" s="28"/>
      <c r="AN63" s="28"/>
      <c r="AO63" s="142"/>
      <c r="AP63" s="142"/>
    </row>
    <row r="64" spans="2:42" s="5" customFormat="1">
      <c r="B64" s="56" t="s">
        <v>241</v>
      </c>
      <c r="C64" s="150">
        <v>0.16666666666666666</v>
      </c>
      <c r="D64" s="76" t="s">
        <v>83</v>
      </c>
      <c r="E64" s="76" t="s">
        <v>84</v>
      </c>
      <c r="F64" s="76" t="s">
        <v>242</v>
      </c>
      <c r="G64" s="76" t="s">
        <v>243</v>
      </c>
      <c r="H64" s="165"/>
      <c r="L64" s="162" t="s">
        <v>184</v>
      </c>
      <c r="M64" s="162" t="s">
        <v>184</v>
      </c>
      <c r="N64" s="154" t="s">
        <v>184</v>
      </c>
      <c r="O64" s="205" t="s">
        <v>109</v>
      </c>
      <c r="Q64" s="13"/>
      <c r="AD64" s="5" t="s">
        <v>244</v>
      </c>
      <c r="AG64" s="5" t="s">
        <v>244</v>
      </c>
      <c r="AI64" s="5" t="s">
        <v>245</v>
      </c>
    </row>
    <row r="65" spans="2:17" s="5" customFormat="1">
      <c r="B65" s="56"/>
      <c r="C65" s="150"/>
      <c r="D65" s="76" t="s">
        <v>83</v>
      </c>
      <c r="E65" s="76" t="s">
        <v>84</v>
      </c>
      <c r="F65" s="76" t="s">
        <v>114</v>
      </c>
      <c r="G65" s="76" t="s">
        <v>246</v>
      </c>
      <c r="H65" s="165"/>
      <c r="O65" s="205" t="s">
        <v>109</v>
      </c>
      <c r="Q65" s="13"/>
    </row>
    <row r="66" spans="2:17" s="5" customFormat="1">
      <c r="B66" s="163">
        <v>46274</v>
      </c>
      <c r="C66" s="150">
        <v>0.16666666666666666</v>
      </c>
      <c r="D66" s="76" t="s">
        <v>83</v>
      </c>
      <c r="E66" s="76" t="s">
        <v>84</v>
      </c>
      <c r="F66" s="76" t="s">
        <v>134</v>
      </c>
      <c r="G66" s="76" t="s">
        <v>247</v>
      </c>
      <c r="H66">
        <v>220260925173887</v>
      </c>
      <c r="O66" s="178" t="s">
        <v>248</v>
      </c>
      <c r="P66" s="5" t="s">
        <v>249</v>
      </c>
      <c r="Q66" s="13"/>
    </row>
    <row r="67" spans="2:17" s="5" customFormat="1">
      <c r="B67" s="163">
        <v>46274</v>
      </c>
      <c r="C67" s="150">
        <v>0.16666666666666666</v>
      </c>
      <c r="D67" s="76" t="s">
        <v>83</v>
      </c>
      <c r="E67" s="76" t="s">
        <v>84</v>
      </c>
      <c r="F67" s="76" t="s">
        <v>110</v>
      </c>
      <c r="G67" s="76" t="s">
        <v>250</v>
      </c>
      <c r="H67" s="165"/>
      <c r="O67" s="205" t="s">
        <v>109</v>
      </c>
      <c r="Q67" s="13"/>
    </row>
    <row r="68" spans="2:17" s="5" customFormat="1">
      <c r="B68" s="153"/>
      <c r="C68" s="137">
        <v>0.16666666666666666</v>
      </c>
      <c r="D68" s="181" t="s">
        <v>78</v>
      </c>
      <c r="E68" s="182" t="s">
        <v>79</v>
      </c>
      <c r="F68" s="76" t="s">
        <v>110</v>
      </c>
      <c r="G68" s="76" t="s">
        <v>251</v>
      </c>
      <c r="H68" s="165"/>
      <c r="O68" s="178"/>
      <c r="Q68" s="13"/>
    </row>
    <row r="69" spans="2:17">
      <c r="B69" s="161"/>
    </row>
  </sheetData>
  <conditionalFormatting sqref="G7:J7 G12:J12 G16:J16 G20:J20 G24:J24 G26:J26 G25 G36:J36 G27:G35 G37 G17:G19 G44 G38:J38 G43:J43 G45:J49 G52 G39:G42 G8:G11 G13:G15 G21:G23 G51:J51 G50 G5:G6 I6:J6 I31:J31">
    <cfRule type="duplicateValues" dxfId="173" priority="100"/>
  </conditionalFormatting>
  <conditionalFormatting sqref="S51 S54:S58 AE18:AN18 AE52:AN52 K54:K60 M54:M55 O58 O60:O65 K16:T16 K24:T24 H5:AP5 H13:AN13 H15:AN15 H17:AD18 H23:AD23 H25:AG25 H34:AD34 H39:AP39 H42:AK42 H44:AN44 H50:AN50 H52:AD53 H59:AP59 K36:AN36 H11:AN11 K6:T10 K12:T12 K14:T14 K4:T4 K35:T35 K37:T38 K40:T41 K19:T22 K26:T33 K43:T43 K45:T49 K51:Q51 Q54">
    <cfRule type="containsText" dxfId="172" priority="99" operator="containsText" text="Pendente">
      <formula>NOT(ISERROR(SEARCH("Pendente",H4)))</formula>
    </cfRule>
  </conditionalFormatting>
  <conditionalFormatting sqref="S51 S54:S58 AE18:AN18 AE52:AN52 K54:K60 M54:M55 O58 O60:O65 K16:T16 K24:T24 H5:AP5 H13:AN13 H15:AN15 H17:AD18 H23:AD23 H25:AG25 H34:AD34 H39:AP39 H42:AK42 H44:AN44 H50:AN50 H52:AD53 H59:AP59 K36:AN36 H11:AN11 K6:T10 K12:T12 K14:T14 K4:T4 K35:T35 K37:T38 K40:T41 K19:T22 K26:T33 K43:T43 K45:T49 K51:Q51 Q54">
    <cfRule type="beginsWith" dxfId="171" priority="98" operator="beginsWith" text="GERENCIADO 100%">
      <formula>LEFT(H4,LEN("GERENCIADO 100%"))="GERENCIADO 100%"</formula>
    </cfRule>
  </conditionalFormatting>
  <conditionalFormatting sqref="Z4 Z6:Z10 Z16 Z20:Z22 Z35 Z40:Z41 Z45:Z49 Z12 Z26:Z33 Z54:AB58 Z51:AA51 Z14 Z43 Z24 Z37:Z38">
    <cfRule type="containsText" dxfId="170" priority="96" operator="containsText" text="X">
      <formula>NOT(ISERROR(SEARCH("X",Z4)))</formula>
    </cfRule>
    <cfRule type="containsText" dxfId="169" priority="97" operator="containsText" text="OK">
      <formula>NOT(ISERROR(SEARCH("OK",Z4)))</formula>
    </cfRule>
  </conditionalFormatting>
  <conditionalFormatting sqref="U19:X19 AE34:AN34 U4:Y4 Z19:AC19 AH25:AN25 U6:Y10 U12:Y12 U14:Y14 U16:Y16 U20:Y22 U24:Y24 U26:Y33 U35:Y35 U40:Y41 U45:Y49 U51:Y51 U54:Y58 U43:Y43 U37:Y38">
    <cfRule type="containsText" dxfId="168" priority="94" operator="containsText" text="X">
      <formula>NOT(ISERROR(SEARCH("X",U4)))</formula>
    </cfRule>
    <cfRule type="containsText" dxfId="167" priority="95" operator="containsText" text="OK">
      <formula>NOT(ISERROR(SEARCH("OK",U4)))</formula>
    </cfRule>
  </conditionalFormatting>
  <conditionalFormatting sqref="AA4 AA16:AB16 AB51 AA6:AB10 AA40:AB41 AA45:AB49 AA35:AB35 AA20:AB22 AA12:AB12 AA26:AB33 AA14:AB14 AA43:AB43 AA24:AB24 AA37:AB38">
    <cfRule type="containsText" dxfId="166" priority="92" operator="containsText" text="X">
      <formula>NOT(ISERROR(SEARCH("X",AA4)))</formula>
    </cfRule>
    <cfRule type="containsText" dxfId="165" priority="93" operator="containsText" text="OK">
      <formula>NOT(ISERROR(SEARCH("OK",AA4)))</formula>
    </cfRule>
  </conditionalFormatting>
  <conditionalFormatting sqref="AB4">
    <cfRule type="containsText" dxfId="164" priority="90" operator="containsText" text="X">
      <formula>NOT(ISERROR(SEARCH("X",AB4)))</formula>
    </cfRule>
    <cfRule type="containsText" dxfId="163" priority="91" operator="containsText" text="OK">
      <formula>NOT(ISERROR(SEARCH("OK",AB4)))</formula>
    </cfRule>
  </conditionalFormatting>
  <conditionalFormatting sqref="AG16:AJ16 AG8:AI10 AG19:AJ21 AG24:AJ24 AG22:AI22 AG26:AJ26 AG27:AI28 AG12:AI12 AG14:AI14">
    <cfRule type="duplicateValues" dxfId="162" priority="88"/>
    <cfRule type="duplicateValues" dxfId="161" priority="89"/>
  </conditionalFormatting>
  <conditionalFormatting sqref="O51:P51">
    <cfRule type="containsText" dxfId="160" priority="87" operator="containsText" text="Pendente">
      <formula>NOT(ISERROR(SEARCH("Pendente",O51)))</formula>
    </cfRule>
  </conditionalFormatting>
  <conditionalFormatting sqref="O51:P51">
    <cfRule type="beginsWith" dxfId="159" priority="86" operator="beginsWith" text="GERENCIADO 100%">
      <formula>LEFT(O51,LEN("GERENCIADO 100%"))="GERENCIADO 100%"</formula>
    </cfRule>
  </conditionalFormatting>
  <conditionalFormatting sqref="AE18:AN18 AE52:AN52 M54:M60 N60 K59:K60 M61:N61 O60:O65 K54:L58 K16:T16 K24:T24 H5:AP5 H13:AN13 H15:AN15 H17:AD18 H23:AD23 H25:AG25 H34:AD34 H39:AP39 H42:AK42 H44:AN44 H50:AN50 H52:AD53 H59:AP59 K36:AN36 H11:AN11 K6:T10 K12:T12 K14:T14 K4:T4 K35:T35 K37:T38 K40:T41 K19:T22 K26:T33 K43:T43 K45:T49 K51:T51 N54:T58">
    <cfRule type="containsText" dxfId="158" priority="85" operator="containsText" text="DESLIGADO">
      <formula>NOT(ISERROR(SEARCH("DESLIGADO",H4)))</formula>
    </cfRule>
  </conditionalFormatting>
  <conditionalFormatting sqref="AE18:AN18 AE52:AN52 M54:M60 N60 K59:K60 M61:N61 O60:O65 K54:L58 K16:T16 K24:T24 H5:AP5 H13:AN13 H15:AN15 H17:AD18 H23:AD23 H25:AG25 H34:AD34 H39:AP39 H42:AK42 H44:AN44 H50:AN50 H52:AD53 H59:AP59 K36:AN36 H11:AN11 K6:T10 K12:T12 K14:T14 K4:T4 K35:T35 K37:T38 K40:T41 K19:T22 K26:T33 K43:T43 K45:T49 K51:T51 N54:T58">
    <cfRule type="containsText" dxfId="157" priority="84" operator="containsText" text="100%">
      <formula>NOT(ISERROR(SEARCH("100%",H4)))</formula>
    </cfRule>
  </conditionalFormatting>
  <conditionalFormatting sqref="AL6:AL10 AL19:AL22 AL40:AL43 AL51 AL45:AL49 AL16 AL35 AL24 AL53:AL58 AL12 AL26:AL33 AL14 AL37:AL38">
    <cfRule type="containsText" dxfId="156" priority="83" operator="containsText" text="SIM">
      <formula>NOT(ISERROR(SEARCH("SIM",AL6)))</formula>
    </cfRule>
  </conditionalFormatting>
  <conditionalFormatting sqref="AL6:AL10 AL19:AL22 AL40:AL43 AL51 AL45:AL49 AL16 AL35 AL24 AL53:AL58 AL12 AL26:AL33 AL14 AL37:AL38">
    <cfRule type="containsText" dxfId="155" priority="82" operator="containsText" text="NÃO">
      <formula>NOT(ISERROR(SEARCH("NÃO",AL6)))</formula>
    </cfRule>
  </conditionalFormatting>
  <conditionalFormatting sqref="Y19">
    <cfRule type="containsText" dxfId="154" priority="79" operator="containsText" text="Pendente">
      <formula>NOT(ISERROR(SEARCH("Pendente",Y19)))</formula>
    </cfRule>
  </conditionalFormatting>
  <conditionalFormatting sqref="Y19">
    <cfRule type="beginsWith" dxfId="153" priority="78" operator="beginsWith" text="GERENCIADO 100%">
      <formula>LEFT(Y19,LEN("GERENCIADO 100%"))="GERENCIADO 100%"</formula>
    </cfRule>
  </conditionalFormatting>
  <conditionalFormatting sqref="Y19">
    <cfRule type="containsText" dxfId="152" priority="77" operator="containsText" text="DESLIGADO">
      <formula>NOT(ISERROR(SEARCH("DESLIGADO",Y19)))</formula>
    </cfRule>
  </conditionalFormatting>
  <conditionalFormatting sqref="Y19">
    <cfRule type="containsText" dxfId="151" priority="76" operator="containsText" text="100%">
      <formula>NOT(ISERROR(SEARCH("100%",Y19)))</formula>
    </cfRule>
  </conditionalFormatting>
  <conditionalFormatting sqref="AE17:AN17">
    <cfRule type="containsText" dxfId="150" priority="75" operator="containsText" text="Pendente">
      <formula>NOT(ISERROR(SEARCH("Pendente",AE17)))</formula>
    </cfRule>
  </conditionalFormatting>
  <conditionalFormatting sqref="AE17:AN17">
    <cfRule type="beginsWith" dxfId="149" priority="74" operator="beginsWith" text="GERENCIADO 100%">
      <formula>LEFT(AE17,LEN("GERENCIADO 100%"))="GERENCIADO 100%"</formula>
    </cfRule>
  </conditionalFormatting>
  <conditionalFormatting sqref="AE17:AN17">
    <cfRule type="containsText" dxfId="148" priority="73" operator="containsText" text="DESLIGADO">
      <formula>NOT(ISERROR(SEARCH("DESLIGADO",AE17)))</formula>
    </cfRule>
  </conditionalFormatting>
  <conditionalFormatting sqref="AE17:AN17">
    <cfRule type="containsText" dxfId="147" priority="72" operator="containsText" text="100%">
      <formula>NOT(ISERROR(SEARCH("100%",AE17)))</formula>
    </cfRule>
  </conditionalFormatting>
  <conditionalFormatting sqref="AE23:AN23 AC4:AC10 AC20:AC35 AC37:AC58 AC12:AC18">
    <cfRule type="containsText" dxfId="146" priority="71" operator="containsText" text="OK">
      <formula>NOT(ISERROR(SEARCH("OK",AC4)))</formula>
    </cfRule>
  </conditionalFormatting>
  <conditionalFormatting sqref="AE23:AN23 AC4:AC10 AC20:AC35 AC37:AC58 AC12:AC18">
    <cfRule type="containsText" dxfId="145" priority="70" operator="containsText" text="X">
      <formula>NOT(ISERROR(SEARCH("X",AC4)))</formula>
    </cfRule>
  </conditionalFormatting>
  <conditionalFormatting sqref="AE52:AN52 AE13:AN13 N54:O54 S4:S10 Q4:Q10 N60 N59:AP59 N38 H59:J59 M61:N61 M4:M10 M37:M60 S37:S58 L36:AN36 M12:M35 K12:K61 S12:S35 O4:O10 O12:O35 O37:O53 N55:R58 O60:O65 K4:K10 K54:L58 Q12:Q35 Q37:Q54">
    <cfRule type="endsWith" dxfId="144" priority="69" operator="endsWith" text="%">
      <formula>RIGHT(H4,LEN("%"))="%"</formula>
    </cfRule>
  </conditionalFormatting>
  <conditionalFormatting sqref="G53">
    <cfRule type="duplicateValues" dxfId="143" priority="68"/>
  </conditionalFormatting>
  <conditionalFormatting sqref="F14">
    <cfRule type="duplicateValues" dxfId="142" priority="67"/>
  </conditionalFormatting>
  <conditionalFormatting sqref="F5:F13 F15:F58">
    <cfRule type="duplicateValues" dxfId="141" priority="101"/>
  </conditionalFormatting>
  <conditionalFormatting sqref="AO17:AP17 H7:J7 H19:J20 H16:J16 H54:J55 I56:J58 H35:J38 H26:J29 H40:J41 H43:J43 H12:J12 H14:J14 H24:J24 H45:J49 H51:J51 I6:J6 H10:J10 I8:J9 I21:J22 H32:J33 I30:J31">
    <cfRule type="iconSet" priority="102">
      <iconSet iconSet="3TrafficLights2">
        <cfvo type="percent" val="0"/>
        <cfvo type="percent" val="33"/>
        <cfvo type="percent" val="67"/>
      </iconSet>
    </cfRule>
  </conditionalFormatting>
  <conditionalFormatting sqref="F59:G60">
    <cfRule type="duplicateValues" dxfId="140" priority="61"/>
  </conditionalFormatting>
  <conditionalFormatting sqref="L60">
    <cfRule type="containsText" dxfId="139" priority="57" operator="containsText" text="DESLIGADO">
      <formula>NOT(ISERROR(SEARCH("DESLIGADO",L60)))</formula>
    </cfRule>
  </conditionalFormatting>
  <conditionalFormatting sqref="L60">
    <cfRule type="containsText" dxfId="138" priority="56" operator="containsText" text="100%">
      <formula>NOT(ISERROR(SEARCH("100%",L60)))</formula>
    </cfRule>
  </conditionalFormatting>
  <conditionalFormatting sqref="L60">
    <cfRule type="endsWith" dxfId="137" priority="55" operator="endsWith" text="%">
      <formula>RIGHT(L60,LEN("%"))="%"</formula>
    </cfRule>
  </conditionalFormatting>
  <conditionalFormatting sqref="M63">
    <cfRule type="containsText" dxfId="136" priority="48" operator="containsText" text="DESLIGADO">
      <formula>NOT(ISERROR(SEARCH("DESLIGADO",M63)))</formula>
    </cfRule>
  </conditionalFormatting>
  <conditionalFormatting sqref="M63">
    <cfRule type="containsText" dxfId="135" priority="47" operator="containsText" text="100%">
      <formula>NOT(ISERROR(SEARCH("100%",M63)))</formula>
    </cfRule>
  </conditionalFormatting>
  <conditionalFormatting sqref="M63">
    <cfRule type="endsWith" dxfId="134" priority="46" operator="endsWith" text="%">
      <formula>RIGHT(M63,LEN("%"))="%"</formula>
    </cfRule>
  </conditionalFormatting>
  <conditionalFormatting sqref="N63">
    <cfRule type="containsText" dxfId="133" priority="45" operator="containsText" text="DESLIGADO">
      <formula>NOT(ISERROR(SEARCH("DESLIGADO",N63)))</formula>
    </cfRule>
  </conditionalFormatting>
  <conditionalFormatting sqref="N63">
    <cfRule type="containsText" dxfId="132" priority="44" operator="containsText" text="100%">
      <formula>NOT(ISERROR(SEARCH("100%",N63)))</formula>
    </cfRule>
  </conditionalFormatting>
  <conditionalFormatting sqref="N63">
    <cfRule type="endsWith" dxfId="131" priority="43" operator="endsWith" text="%">
      <formula>RIGHT(N63,LEN("%"))="%"</formula>
    </cfRule>
  </conditionalFormatting>
  <conditionalFormatting sqref="L59">
    <cfRule type="containsText" dxfId="130" priority="42" operator="containsText" text="DESLIGADO">
      <formula>NOT(ISERROR(SEARCH("DESLIGADO",L59)))</formula>
    </cfRule>
  </conditionalFormatting>
  <conditionalFormatting sqref="L59">
    <cfRule type="containsText" dxfId="129" priority="41" operator="containsText" text="100%">
      <formula>NOT(ISERROR(SEARCH("100%",L59)))</formula>
    </cfRule>
  </conditionalFormatting>
  <conditionalFormatting sqref="L59">
    <cfRule type="endsWith" dxfId="128" priority="40" operator="endsWith" text="%">
      <formula>RIGHT(L59,LEN("%"))="%"</formula>
    </cfRule>
  </conditionalFormatting>
  <conditionalFormatting sqref="L63">
    <cfRule type="containsText" dxfId="127" priority="39" operator="containsText" text="DESLIGADO">
      <formula>NOT(ISERROR(SEARCH("DESLIGADO",L63)))</formula>
    </cfRule>
  </conditionalFormatting>
  <conditionalFormatting sqref="L63">
    <cfRule type="containsText" dxfId="126" priority="38" operator="containsText" text="100%">
      <formula>NOT(ISERROR(SEARCH("100%",L63)))</formula>
    </cfRule>
  </conditionalFormatting>
  <conditionalFormatting sqref="L63">
    <cfRule type="endsWith" dxfId="125" priority="37" operator="endsWith" text="%">
      <formula>RIGHT(L63,LEN("%"))="%"</formula>
    </cfRule>
  </conditionalFormatting>
  <conditionalFormatting sqref="L64">
    <cfRule type="containsText" dxfId="124" priority="36" operator="containsText" text="DESLIGADO">
      <formula>NOT(ISERROR(SEARCH("DESLIGADO",L64)))</formula>
    </cfRule>
  </conditionalFormatting>
  <conditionalFormatting sqref="L64">
    <cfRule type="containsText" dxfId="123" priority="35" operator="containsText" text="100%">
      <formula>NOT(ISERROR(SEARCH("100%",L64)))</formula>
    </cfRule>
  </conditionalFormatting>
  <conditionalFormatting sqref="L64">
    <cfRule type="endsWith" dxfId="122" priority="34" operator="endsWith" text="%">
      <formula>RIGHT(L64,LEN("%"))="%"</formula>
    </cfRule>
  </conditionalFormatting>
  <conditionalFormatting sqref="M64">
    <cfRule type="containsText" dxfId="121" priority="33" operator="containsText" text="DESLIGADO">
      <formula>NOT(ISERROR(SEARCH("DESLIGADO",M64)))</formula>
    </cfRule>
  </conditionalFormatting>
  <conditionalFormatting sqref="M64">
    <cfRule type="containsText" dxfId="120" priority="32" operator="containsText" text="100%">
      <formula>NOT(ISERROR(SEARCH("100%",M64)))</formula>
    </cfRule>
  </conditionalFormatting>
  <conditionalFormatting sqref="M64">
    <cfRule type="endsWith" dxfId="119" priority="31" operator="endsWith" text="%">
      <formula>RIGHT(M64,LEN("%"))="%"</formula>
    </cfRule>
  </conditionalFormatting>
  <conditionalFormatting sqref="D61:G61">
    <cfRule type="duplicateValues" dxfId="118" priority="125"/>
  </conditionalFormatting>
  <conditionalFormatting sqref="H6">
    <cfRule type="containsText" dxfId="117" priority="30" operator="containsText" text="Pendente">
      <formula>NOT(ISERROR(SEARCH("Pendente",H6)))</formula>
    </cfRule>
  </conditionalFormatting>
  <conditionalFormatting sqref="H6">
    <cfRule type="beginsWith" dxfId="116" priority="29" operator="beginsWith" text="GERENCIADO 100%">
      <formula>LEFT(H6,LEN("GERENCIADO 100%"))="GERENCIADO 100%"</formula>
    </cfRule>
  </conditionalFormatting>
  <conditionalFormatting sqref="H6">
    <cfRule type="containsText" dxfId="115" priority="28" operator="containsText" text="DESLIGADO">
      <formula>NOT(ISERROR(SEARCH("DESLIGADO",H6)))</formula>
    </cfRule>
  </conditionalFormatting>
  <conditionalFormatting sqref="H6">
    <cfRule type="containsText" dxfId="114" priority="27" operator="containsText" text="100%">
      <formula>NOT(ISERROR(SEARCH("100%",H6)))</formula>
    </cfRule>
  </conditionalFormatting>
  <conditionalFormatting sqref="H8">
    <cfRule type="containsText" dxfId="113" priority="26" operator="containsText" text="Pendente">
      <formula>NOT(ISERROR(SEARCH("Pendente",H8)))</formula>
    </cfRule>
  </conditionalFormatting>
  <conditionalFormatting sqref="H8">
    <cfRule type="beginsWith" dxfId="112" priority="25" operator="beginsWith" text="GERENCIADO 100%">
      <formula>LEFT(H8,LEN("GERENCIADO 100%"))="GERENCIADO 100%"</formula>
    </cfRule>
  </conditionalFormatting>
  <conditionalFormatting sqref="H8">
    <cfRule type="containsText" dxfId="111" priority="24" operator="containsText" text="DESLIGADO">
      <formula>NOT(ISERROR(SEARCH("DESLIGADO",H8)))</formula>
    </cfRule>
  </conditionalFormatting>
  <conditionalFormatting sqref="H8">
    <cfRule type="containsText" dxfId="110" priority="23" operator="containsText" text="100%">
      <formula>NOT(ISERROR(SEARCH("100%",H8)))</formula>
    </cfRule>
  </conditionalFormatting>
  <conditionalFormatting sqref="H9">
    <cfRule type="containsText" dxfId="109" priority="22" operator="containsText" text="Pendente">
      <formula>NOT(ISERROR(SEARCH("Pendente",H9)))</formula>
    </cfRule>
  </conditionalFormatting>
  <conditionalFormatting sqref="H9">
    <cfRule type="beginsWith" dxfId="108" priority="21" operator="beginsWith" text="GERENCIADO 100%">
      <formula>LEFT(H9,LEN("GERENCIADO 100%"))="GERENCIADO 100%"</formula>
    </cfRule>
  </conditionalFormatting>
  <conditionalFormatting sqref="H9">
    <cfRule type="containsText" dxfId="107" priority="20" operator="containsText" text="DESLIGADO">
      <formula>NOT(ISERROR(SEARCH("DESLIGADO",H9)))</formula>
    </cfRule>
  </conditionalFormatting>
  <conditionalFormatting sqref="H9">
    <cfRule type="containsText" dxfId="106" priority="19" operator="containsText" text="100%">
      <formula>NOT(ISERROR(SEARCH("100%",H9)))</formula>
    </cfRule>
  </conditionalFormatting>
  <conditionalFormatting sqref="H21">
    <cfRule type="containsText" dxfId="105" priority="18" operator="containsText" text="Pendente">
      <formula>NOT(ISERROR(SEARCH("Pendente",H21)))</formula>
    </cfRule>
  </conditionalFormatting>
  <conditionalFormatting sqref="H21">
    <cfRule type="beginsWith" dxfId="104" priority="17" operator="beginsWith" text="GERENCIADO 100%">
      <formula>LEFT(H21,LEN("GERENCIADO 100%"))="GERENCIADO 100%"</formula>
    </cfRule>
  </conditionalFormatting>
  <conditionalFormatting sqref="H21">
    <cfRule type="containsText" dxfId="103" priority="16" operator="containsText" text="DESLIGADO">
      <formula>NOT(ISERROR(SEARCH("DESLIGADO",H21)))</formula>
    </cfRule>
  </conditionalFormatting>
  <conditionalFormatting sqref="H21">
    <cfRule type="containsText" dxfId="102" priority="15" operator="containsText" text="100%">
      <formula>NOT(ISERROR(SEARCH("100%",H21)))</formula>
    </cfRule>
  </conditionalFormatting>
  <conditionalFormatting sqref="H22">
    <cfRule type="containsText" dxfId="101" priority="14" operator="containsText" text="Pendente">
      <formula>NOT(ISERROR(SEARCH("Pendente",H22)))</formula>
    </cfRule>
  </conditionalFormatting>
  <conditionalFormatting sqref="H22">
    <cfRule type="beginsWith" dxfId="100" priority="13" operator="beginsWith" text="GERENCIADO 100%">
      <formula>LEFT(H22,LEN("GERENCIADO 100%"))="GERENCIADO 100%"</formula>
    </cfRule>
  </conditionalFormatting>
  <conditionalFormatting sqref="H22">
    <cfRule type="containsText" dxfId="99" priority="12" operator="containsText" text="DESLIGADO">
      <formula>NOT(ISERROR(SEARCH("DESLIGADO",H22)))</formula>
    </cfRule>
  </conditionalFormatting>
  <conditionalFormatting sqref="H22">
    <cfRule type="containsText" dxfId="98" priority="11" operator="containsText" text="100%">
      <formula>NOT(ISERROR(SEARCH("100%",H22)))</formula>
    </cfRule>
  </conditionalFormatting>
  <conditionalFormatting sqref="H30">
    <cfRule type="containsText" dxfId="97" priority="10" operator="containsText" text="Pendente">
      <formula>NOT(ISERROR(SEARCH("Pendente",H30)))</formula>
    </cfRule>
  </conditionalFormatting>
  <conditionalFormatting sqref="H30">
    <cfRule type="beginsWith" dxfId="96" priority="9" operator="beginsWith" text="GERENCIADO 100%">
      <formula>LEFT(H30,LEN("GERENCIADO 100%"))="GERENCIADO 100%"</formula>
    </cfRule>
  </conditionalFormatting>
  <conditionalFormatting sqref="H30">
    <cfRule type="containsText" dxfId="95" priority="8" operator="containsText" text="DESLIGADO">
      <formula>NOT(ISERROR(SEARCH("DESLIGADO",H30)))</formula>
    </cfRule>
  </conditionalFormatting>
  <conditionalFormatting sqref="H30">
    <cfRule type="containsText" dxfId="94" priority="7" operator="containsText" text="100%">
      <formula>NOT(ISERROR(SEARCH("100%",H30)))</formula>
    </cfRule>
  </conditionalFormatting>
  <conditionalFormatting sqref="O67">
    <cfRule type="containsText" dxfId="93" priority="6" operator="containsText" text="Pendente">
      <formula>NOT(ISERROR(SEARCH("Pendente",O67)))</formula>
    </cfRule>
  </conditionalFormatting>
  <conditionalFormatting sqref="O67">
    <cfRule type="beginsWith" dxfId="92" priority="5" operator="beginsWith" text="GERENCIADO 100%">
      <formula>LEFT(O67,LEN("GERENCIADO 100%"))="GERENCIADO 100%"</formula>
    </cfRule>
  </conditionalFormatting>
  <conditionalFormatting sqref="O67">
    <cfRule type="containsText" dxfId="91" priority="4" operator="containsText" text="DESLIGADO">
      <formula>NOT(ISERROR(SEARCH("DESLIGADO",O67)))</formula>
    </cfRule>
  </conditionalFormatting>
  <conditionalFormatting sqref="O67">
    <cfRule type="containsText" dxfId="90" priority="3" operator="containsText" text="100%">
      <formula>NOT(ISERROR(SEARCH("100%",O67)))</formula>
    </cfRule>
  </conditionalFormatting>
  <conditionalFormatting sqref="O67">
    <cfRule type="endsWith" dxfId="89" priority="2" operator="endsWith" text="%">
      <formula>RIGHT(O67,LEN("%"))="%"</formula>
    </cfRule>
  </conditionalFormatting>
  <conditionalFormatting sqref="D63:G67 F68:G68">
    <cfRule type="duplicateValues" dxfId="88" priority="1"/>
  </conditionalFormatting>
  <dataValidations count="1">
    <dataValidation allowBlank="1" showInputMessage="1" showErrorMessage="1" sqref="AD4 AD45:AD49 AD16 AD14 AE56:AE58 AD54:AD58 AD26:AD33 AD51 AD19:AD22 AD43 AD6:AD10 AD24 AD12 AD40:AD41 AD35 AD37:AD38" xr:uid="{353D5AB7-2448-4944-8A32-363686B661BE}"/>
  </dataValidations>
  <pageMargins left="0.7" right="0.7" top="0.75" bottom="0.75" header="0.3" footer="0.3"/>
  <legacyDrawing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BAD4165-D47A-4B9D-90FE-F7181BA6BA9C}">
          <x14:formula1>
            <xm:f>'BASE DE DADOS'!$B$17:$B$18</xm:f>
          </x14:formula1>
          <xm:sqref>AL4:AN4 AL45:AN49 AL16:AN16 AL40:AN43 AL53:AN58 AL26:AN33 AL14:AN14 AL51:AN51 AL19:AN22 AL6:AN10 AL24:AN24 AL12:AN12 AL35:AN35 AL37:AN38</xm:sqref>
        </x14:dataValidation>
        <x14:dataValidation type="list" allowBlank="1" showInputMessage="1" showErrorMessage="1" xr:uid="{6C9F5EC8-1430-472F-AFEB-36C07F40B1AD}">
          <x14:formula1>
            <xm:f>'BASE DE DADOS'!$D$4:$D$7</xm:f>
          </x14:formula1>
          <xm:sqref>U4:Y4 AE34:AN34 Z19:AC19 U51:Y51 Y20:Y22 AH25:AN25 U14:Y14 U43:Y43 U12:Y12 U16:Y16 U6:Y10 U54:Y58 U26:Y33 U24:Y24 U45:Y49 U37:Y38 U40:Y41 U19:X22 U35:Y35</xm:sqref>
        </x14:dataValidation>
        <x14:dataValidation type="list" allowBlank="1" showInputMessage="1" showErrorMessage="1" xr:uid="{4E6E5C42-C894-403B-B930-76052AE2B87B}">
          <x14:formula1>
            <xm:f>'BASE DE DADOS'!$D$4:$D$6</xm:f>
          </x14:formula1>
          <xm:sqref>AE23:AN23 Z14:AC14 Z16:AC16 Z51:AC51 Z43:AC43 Z26:AC33 Z24:AC24 Z45:AC49 Z6:AC10 Z54:AC58 Z12:AC12 Z40:AC41 Z20:AC22 Z35:AC35 Z37:AC38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818C-39EE-48B1-A6B0-A016E6D24A64}">
  <dimension ref="A2:K28"/>
  <sheetViews>
    <sheetView workbookViewId="0">
      <selection activeCell="E7" sqref="E7"/>
    </sheetView>
  </sheetViews>
  <sheetFormatPr defaultRowHeight="15"/>
  <cols>
    <col min="1" max="1" width="19.5703125" customWidth="1"/>
    <col min="2" max="2" width="6.42578125" bestFit="1" customWidth="1"/>
    <col min="3" max="3" width="16.85546875" bestFit="1" customWidth="1"/>
    <col min="4" max="4" width="28.5703125" customWidth="1"/>
    <col min="5" max="5" width="32.42578125" customWidth="1"/>
    <col min="6" max="6" width="24.140625" bestFit="1" customWidth="1"/>
    <col min="7" max="7" width="56.140625" bestFit="1" customWidth="1"/>
    <col min="9" max="9" width="10.5703125" bestFit="1" customWidth="1"/>
    <col min="10" max="10" width="18.7109375" bestFit="1" customWidth="1"/>
    <col min="11" max="11" width="12.140625" bestFit="1" customWidth="1"/>
  </cols>
  <sheetData>
    <row r="2" spans="1:11">
      <c r="A2" s="194" t="s">
        <v>252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</row>
    <row r="3" spans="1:11">
      <c r="A3" s="195" t="s">
        <v>253</v>
      </c>
      <c r="B3" t="s">
        <v>254</v>
      </c>
      <c r="C3" t="s">
        <v>255</v>
      </c>
      <c r="D3" t="s">
        <v>40</v>
      </c>
      <c r="E3" t="s">
        <v>256</v>
      </c>
      <c r="F3" t="s">
        <v>257</v>
      </c>
      <c r="G3" t="s">
        <v>258</v>
      </c>
      <c r="I3" t="s">
        <v>259</v>
      </c>
      <c r="J3" t="s">
        <v>260</v>
      </c>
      <c r="K3" t="s">
        <v>261</v>
      </c>
    </row>
    <row r="4" spans="1:11" s="155" customFormat="1">
      <c r="A4" s="195"/>
      <c r="B4" s="155" t="s">
        <v>262</v>
      </c>
      <c r="C4" s="155" t="e">
        <f>VLOOKUP(F4,'02semestre'!B5:U80,1,FALSE)</f>
        <v>#N/A</v>
      </c>
      <c r="F4" s="156" t="s">
        <v>247</v>
      </c>
      <c r="G4" s="8" t="s">
        <v>263</v>
      </c>
    </row>
    <row r="5" spans="1:11">
      <c r="A5" s="195"/>
      <c r="B5" t="s">
        <v>264</v>
      </c>
    </row>
    <row r="6" spans="1:11">
      <c r="A6" s="195"/>
    </row>
    <row r="7" spans="1:11">
      <c r="A7" s="195"/>
    </row>
    <row r="8" spans="1:11">
      <c r="A8" s="195"/>
    </row>
    <row r="9" spans="1:11">
      <c r="A9" s="195"/>
    </row>
    <row r="10" spans="1:11">
      <c r="A10" s="195"/>
    </row>
    <row r="11" spans="1:11">
      <c r="A11" s="195"/>
    </row>
    <row r="12" spans="1:11">
      <c r="A12" s="195"/>
    </row>
    <row r="13" spans="1:11">
      <c r="A13" s="8"/>
    </row>
    <row r="14" spans="1:11">
      <c r="A14" s="8"/>
    </row>
    <row r="15" spans="1:11">
      <c r="A15" s="8"/>
    </row>
    <row r="16" spans="1:11">
      <c r="A16" s="8"/>
    </row>
    <row r="17" spans="1:1">
      <c r="A17" s="8"/>
    </row>
    <row r="18" spans="1:1">
      <c r="A18" s="8"/>
    </row>
    <row r="19" spans="1:1">
      <c r="A19" s="8"/>
    </row>
    <row r="20" spans="1:1">
      <c r="A20" s="8"/>
    </row>
    <row r="21" spans="1:1">
      <c r="A21" s="8"/>
    </row>
    <row r="22" spans="1:1">
      <c r="A22" s="8"/>
    </row>
    <row r="23" spans="1:1">
      <c r="A23" s="8"/>
    </row>
    <row r="24" spans="1:1">
      <c r="A24" s="8"/>
    </row>
    <row r="25" spans="1:1">
      <c r="A25" s="8"/>
    </row>
    <row r="26" spans="1:1">
      <c r="A26" s="8"/>
    </row>
    <row r="27" spans="1:1">
      <c r="A27" s="8"/>
    </row>
    <row r="28" spans="1:1">
      <c r="A28" s="8"/>
    </row>
  </sheetData>
  <mergeCells count="2">
    <mergeCell ref="A2:K2"/>
    <mergeCell ref="A3:A12"/>
  </mergeCells>
  <conditionalFormatting sqref="F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2026-02-23T17:07:47Z</dcterms:created>
  <dcterms:modified xsi:type="dcterms:W3CDTF">2026-09-29T19:06:07Z</dcterms:modified>
  <cp:category/>
  <cp:contentStatus/>
</cp:coreProperties>
</file>